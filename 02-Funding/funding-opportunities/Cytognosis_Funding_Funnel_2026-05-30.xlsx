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Legend" sheetId="1" state="visible" r:id="rId3"/>
    <sheet name="Master — Funding Opportunities" sheetId="2" state="visible" r:id="rId4"/>
    <sheet name="Funnel Summary" sheetId="3" state="visible" r:id="rId5"/>
    <sheet name="Meta-Sources" sheetId="4" state="visible" r:id="rId6"/>
    <sheet name="PAC &amp; Advocacy" sheetId="5" state="visible" r:id="rId7"/>
    <sheet name="Wave Action Plan" sheetId="6" state="visible" r:id="rId8"/>
    <sheet name="Network &amp; Warm-Intro Ma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<sst xmlns="http://schemas.openxmlformats.org/spreadsheetml/2006/main" count="3233" uniqueCount="1767">
  <si>
    <t xml:space="preserve">Cytognosis Foundation — Funding &amp; Opportunity Funnel</t>
  </si>
  <si>
    <t xml:space="preserve">Master data workbook · compiled 2026-05-30 · companion to Funding_Strategy_Master_2026-05-30.md</t>
  </si>
  <si>
    <t xml:space="preserve">HOW THIS WORKBOOK IS ORGANIZED</t>
  </si>
  <si>
    <t xml:space="preserve">Master — Funding Opportunities</t>
  </si>
  <si>
    <t xml:space="preserve">All scored funding/grant/accelerator/credit candidates that passed the eligibility gate, with the full metric schema.</t>
  </si>
  <si>
    <t xml:space="preserve">Meta-Sources</t>
  </si>
  <si>
    <t xml:space="preserve">The discovery/monitoring layer (portals, aggregators, newsletters) used to FIND opportunities and to power the weekly scraper. Not funders themselves.</t>
  </si>
  <si>
    <t xml:space="preserve">PAC &amp; Advocacy</t>
  </si>
  <si>
    <t xml:space="preserve">Companion list of Patient Advocacy Council / partnership targets. OneMind is cross-listed here and in Master (funder+accelerator+PAC).</t>
  </si>
  <si>
    <t xml:space="preserve">Backup &amp; Parked</t>
  </si>
  <si>
    <t xml:space="preserve">Promising-but-blocked or missing-data candidates: invitation-only, tenured-PI-only, partner-institution-only, for-profit/VC (PBC-phase), or unverifiable. Kept visible, clearly marked.</t>
  </si>
  <si>
    <t xml:space="preserve">Wave Action Plan</t>
  </si>
  <si>
    <t xml:space="preserve">Chronological do-list grouped by wave with the single next action and deadline for each priority target.</t>
  </si>
  <si>
    <t xml:space="preserve">THE FUNNEL (hierarchical, iterative filtering)</t>
  </si>
  <si>
    <t xml:space="preserve">Level 0 — Universe</t>
  </si>
  <si>
    <t xml:space="preserve">Widest net: existing 71 Monday entries + 6 research clusters + discovered adjacents (~150 raw).</t>
  </si>
  <si>
    <t xml:space="preserve">Level 1 — Eligibility gate</t>
  </si>
  <si>
    <t xml:space="preserve">Hard binary filters. E1 entity fit (nonprofit-eligible / clean PBC-path / partner). E2 stage fit (early/pre-seed/Day-1 OK; not revenue/tenure/invite-only-with-no-path). E3 geography (US or US-path). Result: PASS / BACKUP / EXCLUDE.</t>
  </si>
  <si>
    <t xml:space="preserve">Level 2 — Alignment &amp; values score</t>
  </si>
  <si>
    <t xml:space="preserve">Four 0–5 axes -&gt; composite FitScore 0–10 (formula). Advance if FitScore &gt;= 6.0; 4.0–5.9 = monitor/opportunistic; &lt; 4.0 = deprioritize.</t>
  </si>
  <si>
    <t xml:space="preserve">Level 3 — Opportunity economics</t>
  </si>
  <si>
    <t xml:space="preserve">For survivors: funding scale bucket, amounts, current status, process timeline, review mechanism.</t>
  </si>
  <si>
    <t xml:space="preserve">Level 4 — Wave assignment</t>
  </si>
  <si>
    <t xml:space="preserve">Combine fit x economics x deadline urgency x effort into Waves 0–3 (timing strategy).</t>
  </si>
  <si>
    <t xml:space="preserve">Backup rule</t>
  </si>
  <si>
    <t xml:space="preserve">Any promising candidate where a gate fails OR a key metric can't be verified is parked in Backup with the reason — never silently dropped.</t>
  </si>
  <si>
    <t xml:space="preserve">SCORING RUBRIC (0–5 each; FitScore is a formula)</t>
  </si>
  <si>
    <t xml:space="preserve">AI (col J)</t>
  </si>
  <si>
    <t xml:space="preserve">5 = AI/ML is the core lens · 4 = major · 3 = one of several · 2 = minor/enabling · 1 = incidental · 0 = none</t>
  </si>
  <si>
    <t xml:space="preserve">Health/MH (col K)</t>
  </si>
  <si>
    <t xml:space="preserve">5 = mental-health / precision-psychiatry core · 4 = health core · 3 = health-adjacent/biomedical · 2 = health among many · 1 = tangential · 0 = none</t>
  </si>
  <si>
    <t xml:space="preserve">Values (col L)</t>
  </si>
  <si>
    <t xml:space="preserve">Count of strong matches among {moonshot/Pasteur, open-science, mission/impact-driven, collaborative/consortia}, 0–5</t>
  </si>
  <si>
    <t xml:space="preserve">Stage-fit (col M)</t>
  </si>
  <si>
    <t xml:space="preserve">5 = built for early/Day-1/pre-seed or FRO-style · 4 = nonprofit/early friendly · 3 = nonprofit-eligible but expects maturity/partner · 2 = needs faculty/partner or for-profit · 1 = tenured/invite-only · 0 = ineligible</t>
  </si>
  <si>
    <t xml:space="preserve">FitScore (col N)</t>
  </si>
  <si>
    <t xml:space="preserve">Formula: K/5×3 + L/5×2.5 + J/5×2 + M/5×2.5 (max 10). Health &amp; Stage weighted highest, then Values, then AI.</t>
  </si>
  <si>
    <t xml:space="preserve">FUNDING SCALE BUCKETS (col R, from Typical $)</t>
  </si>
  <si>
    <t xml:space="preserve">Small</t>
  </si>
  <si>
    <t xml:space="preserve">&lt;= $250K</t>
  </si>
  <si>
    <t xml:space="preserve">Medium</t>
  </si>
  <si>
    <t xml:space="preserve">$250K – $1.5M</t>
  </si>
  <si>
    <t xml:space="preserve">Large</t>
  </si>
  <si>
    <t xml:space="preserve">$1.5M – $10M</t>
  </si>
  <si>
    <t xml:space="preserve">Mega</t>
  </si>
  <si>
    <t xml:space="preserve">&gt; $10M</t>
  </si>
  <si>
    <t xml:space="preserve">(n/a)</t>
  </si>
  <si>
    <t xml:space="preserve">Amount not yet verified — see Backup/notes</t>
  </si>
  <si>
    <t xml:space="preserve">WAVES (col X)</t>
  </si>
  <si>
    <t xml:space="preserve">Wave 0 — Now (≤4 wks)</t>
  </si>
  <si>
    <t xml:space="preserve">Imminent open deadlines with FitScore≥6 + zero-cost prerequisites (registrations, free credits, HBNet, FRO submission).</t>
  </si>
  <si>
    <t xml:space="preserve">Wave 1 — 1–3 months</t>
  </si>
  <si>
    <t xml:space="preserve">High-fit near-term deadlines and high-value rolling targets to start now.</t>
  </si>
  <si>
    <t xml:space="preserve">Wave 2 — 3–6 months</t>
  </si>
  <si>
    <t xml:space="preserve">Fall cycles &amp; relationship-build-now/apply-later; recurring annual programs.</t>
  </si>
  <si>
    <t xml:space="preserve">Wave 3 — 6–18 months / PBC</t>
  </si>
  <si>
    <t xml:space="preserve">Large strategic processes, EU/intl consortia, and for-profit/PBC-contingent (SBIR, accelerators taking equity).</t>
  </si>
  <si>
    <t xml:space="preserve">DATA CONFIDENCE (col AE)</t>
  </si>
  <si>
    <t xml:space="preserve">High</t>
  </si>
  <si>
    <t xml:space="preserve">Verified on a live primary source on/around 2026-05-30.</t>
  </si>
  <si>
    <t xml:space="preserve">Med</t>
  </si>
  <si>
    <t xml:space="preserve">From a credible secondary source or partially confirmed; re-verify before acting.</t>
  </si>
  <si>
    <t xml:space="preserve">Low</t>
  </si>
  <si>
    <t xml:space="preserve">Unconfirmed / page didn't load / inferred — treat as a lead, verify first.</t>
  </si>
  <si>
    <t xml:space="preserve">REGISTRY (col AF)</t>
  </si>
  <si>
    <t xml:space="preserve">Existing = already on Monday Funding Opportunities board · Refresh = on board but status updated here · New = net-new this pass.</t>
  </si>
  <si>
    <t xml:space="preserve">Prior Status (col AG)</t>
  </si>
  <si>
    <t xml:space="preserve">Real application history: Applied-rejected / In progress / Alumnus-WARM / Not started / Planned / Missed.</t>
  </si>
  <si>
    <t xml:space="preserve">Access / Warm-Intro Path (col AH)</t>
  </si>
  <si>
    <t xml:space="preserve">The named person/relationship that opens the door — see the Network &amp; Warm-Intro Map tab. 'WARM' = an existing relationship to activate.</t>
  </si>
  <si>
    <t xml:space="preserve">ITERATION LOG</t>
  </si>
  <si>
    <t xml:space="preserve">v3 — 2026-05-30</t>
  </si>
  <si>
    <t xml:space="preserve">Status corrections + international strategy: SAM.gov DONE; NVIDIA Inception auto-rejected (nonprofit/form mismatch — warm program-lead contact; pivot to NVIDIA Academic Grant); ARPA-H = pick ONE MO ISO → HSF chosen (PHO = alternative); Wellcome Leap HBNet emailed Dec+Jan, NO RESPONSE → escalate via member institution / Program Director. Deepened EU Horizon Cluster 1 (US = self-funded Associated Partner; UK associated since 2024 → anchor via Manchester/Madhvi). +2 rows: UKRI/MRC via Madhvi's Future Leaders Fellowship (F090), EU EP PerMed personalised-medicine partnership (F091). Added Madhvi Menon to the Network tab.</t>
  </si>
  <si>
    <t xml:space="preserve">v2 — 2026-05-30</t>
  </si>
  <si>
    <t xml:space="preserve">Added Prior Status + Access/Warm-Intro Path columns and a Network &amp; Warm-Intro Map tab. +24 rows: Eli Lilly (LRAP, LPRC, Catalyze360, Grant Office), Nucleate×Lilly Grand Challenge + Nucleate Activator (alumnus), Mayo Accelerate/Orchestrate, BRAIN Foundation, SPARK for Autism, SPARK NS, Autism Society/SFASA, Mental Research Institute, MGH Center for Digital Mental Health, APA App-Evaluation/Council/Future-DSM, APA Foundation, American Psychological Association APA Labs, Mt Sinai-Roussos + MGH-Smoller academic partners, and YC/Foresight/QB3 application history. PAC tab +6 (autism cluster, Center for Digital MH, MRI, Sarika connector).</t>
  </si>
  <si>
    <t xml:space="preserve">v1 — 2026-05-30</t>
  </si>
  <si>
    <t xml:space="preserve">Initial funnel: 65 scored funding rows, 30 meta-sources, 20 PAC orgs, backup list, wave plan.</t>
  </si>
  <si>
    <t xml:space="preserve">Master — Funding Opportunities (funnel-scored)</t>
  </si>
  <si>
    <t xml:space="preserve">FitScore is a live formula (col N). Scale Bucket is a live formula (col R). Sort/filter freely. See README &amp; Legend.</t>
  </si>
  <si>
    <t xml:space="preserve">ID</t>
  </si>
  <si>
    <t xml:space="preserve">Opportunity (Org — Program)</t>
  </si>
  <si>
    <t xml:space="preserve">Funder Org</t>
  </si>
  <si>
    <t xml:space="preserve">Source Type</t>
  </si>
  <si>
    <t xml:space="preserve">Opportunity Type</t>
  </si>
  <si>
    <t xml:space="preserve">Instrument</t>
  </si>
  <si>
    <t xml:space="preserve">Eligibility (Nonprofit/Early)</t>
  </si>
  <si>
    <t xml:space="preserve">Geo</t>
  </si>
  <si>
    <t xml:space="preserve">L1 Gate</t>
  </si>
  <si>
    <t xml:space="preserve">AI</t>
  </si>
  <si>
    <t xml:space="preserve">Health/MH</t>
  </si>
  <si>
    <t xml:space="preserve">Values</t>
  </si>
  <si>
    <t xml:space="preserve">Stage-fit</t>
  </si>
  <si>
    <t xml:space="preserve">FitScore (0-10)</t>
  </si>
  <si>
    <t xml:space="preserve">Amount Min $</t>
  </si>
  <si>
    <t xml:space="preserve">Amount Max $</t>
  </si>
  <si>
    <t xml:space="preserve">Amount Typical $</t>
  </si>
  <si>
    <t xml:space="preserve">Scale Bucket</t>
  </si>
  <si>
    <t xml:space="preserve">Status</t>
  </si>
  <si>
    <t xml:space="preserve">Next Deadline / Window</t>
  </si>
  <si>
    <t xml:space="preserve">Deadline Type</t>
  </si>
  <si>
    <t xml:space="preserve">Process &amp; Timeline</t>
  </si>
  <si>
    <t xml:space="preserve">Review</t>
  </si>
  <si>
    <t xml:space="preserve">Wave</t>
  </si>
  <si>
    <t xml:space="preserve">Strategic Pairing</t>
  </si>
  <si>
    <t xml:space="preserve">Insider / Access Path</t>
  </si>
  <si>
    <t xml:space="preserve">Apply URL</t>
  </si>
  <si>
    <t xml:space="preserve">Monitor / Opportunities URL</t>
  </si>
  <si>
    <t xml:space="preserve">Feed Type</t>
  </si>
  <si>
    <t xml:space="preserve">Mission Rationale</t>
  </si>
  <si>
    <t xml:space="preserve">Data Conf.</t>
  </si>
  <si>
    <t xml:space="preserve">Registry</t>
  </si>
  <si>
    <t xml:space="preserve">Prior Status</t>
  </si>
  <si>
    <t xml:space="preserve">Access / Warm-Intro Path</t>
  </si>
  <si>
    <t xml:space="preserve">F001</t>
  </si>
  <si>
    <t xml:space="preserve">ARPA-H IGoR (AI mechanistic disease modeling)</t>
  </si>
  <si>
    <t xml:space="preserve">ARPA-H</t>
  </si>
  <si>
    <t xml:space="preserve">Government</t>
  </si>
  <si>
    <t xml:space="preserve">Program ISO</t>
  </si>
  <si>
    <t xml:space="preserve">grant (OT)</t>
  </si>
  <si>
    <t xml:space="preserve">Yes</t>
  </si>
  <si>
    <t xml:space="preserve">US</t>
  </si>
  <si>
    <t xml:space="preserve">PASS</t>
  </si>
  <si>
    <t xml:space="preserve">Open</t>
  </si>
  <si>
    <t xml:space="preserve">Solution Summary 2026-06-25; full 2026-08-06</t>
  </si>
  <si>
    <t xml:space="preserve">Single</t>
  </si>
  <si>
    <t xml:space="preserve">SS→encourage→full; 5yr/3-phase; AI-assisted triage</t>
  </si>
  <si>
    <t xml:space="preserve">program-officer</t>
  </si>
  <si>
    <t xml:space="preserve">0</t>
  </si>
  <si>
    <t xml:space="preserve">ARPA-H PHO/HSF ISO</t>
  </si>
  <si>
    <t xml:space="preserve">ARPANET-H hubs; ARPA-H Vitals</t>
  </si>
  <si>
    <t xml:space="preserve">https://arpa-h.gov/explore-funding/programs/igor</t>
  </si>
  <si>
    <t xml:space="preserve">https://arpa-h.gov/explore-funding/open-funding-opportunities</t>
  </si>
  <si>
    <t xml:space="preserve">API(Grants.gov)+HTML</t>
  </si>
  <si>
    <t xml:space="preserve">AI-powered multiscale mechanistic disease modeling = Cytoverse</t>
  </si>
  <si>
    <t xml:space="preserve">New</t>
  </si>
  <si>
    <t xml:space="preserve">Not started</t>
  </si>
  <si>
    <t xml:space="preserve">ARPA-H Vitals; Ananth Grama federal network</t>
  </si>
  <si>
    <t xml:space="preserve">F002</t>
  </si>
  <si>
    <t xml:space="preserve">NIMH BRAIN: Next-Gen Human Sensor Tech (RFA-MH-26-140, U01)</t>
  </si>
  <si>
    <t xml:space="preserve">NIH / NIMH</t>
  </si>
  <si>
    <t xml:space="preserve">Cooperative agreement</t>
  </si>
  <si>
    <t xml:space="preserve">grant</t>
  </si>
  <si>
    <t xml:space="preserve">2026-06-15 (recurs to 2027-06-15)</t>
  </si>
  <si>
    <t xml:space="preserve">Recurring</t>
  </si>
  <si>
    <t xml:space="preserve">8-12wk prep; submit→review Nov→council Jan→start Apr</t>
  </si>
  <si>
    <t xml:space="preserve">peer_review</t>
  </si>
  <si>
    <t xml:space="preserve">NIMH R21; ARPA-H IGoR</t>
  </si>
  <si>
    <t xml:space="preserve">BRAIN Initiative Alliance</t>
  </si>
  <si>
    <t xml:space="preserve">https://grants.nih.gov/grants/guide/rfa-files/RFA-MH-26-140.html</t>
  </si>
  <si>
    <t xml:space="preserve">https://braininitiative.nih.gov/funding/funding-opportunities</t>
  </si>
  <si>
    <t xml:space="preserve">RSS(NIH Guide)</t>
  </si>
  <si>
    <t xml:space="preserve">Optical/NIRS wearable, brain-behavior sync = exact Cytoscope</t>
  </si>
  <si>
    <t xml:space="preserve">F003</t>
  </si>
  <si>
    <t xml:space="preserve">AWS Imagine Grant — Pathfinder (GenAI)</t>
  </si>
  <si>
    <t xml:space="preserve">Amazon Web Services</t>
  </si>
  <si>
    <t xml:space="preserve">Corporate</t>
  </si>
  <si>
    <t xml:space="preserve">Corporate grant</t>
  </si>
  <si>
    <t xml:space="preserve">grant+credits</t>
  </si>
  <si>
    <t xml:space="preserve">Round 1 2026-06-05; R2 invite 07-14; award Dec</t>
  </si>
  <si>
    <t xml:space="preserve">3-4wk prep; R1 Jun5→R2 Sep14→award Dec</t>
  </si>
  <si>
    <t xml:space="preserve">AWS Activate; NVIDIA</t>
  </si>
  <si>
    <t xml:space="preserve">AWS Gen AI Innovation Center</t>
  </si>
  <si>
    <t xml:space="preserve">https://apply.younoodle.com/showcase/competition/2026_aws_imagine_grant</t>
  </si>
  <si>
    <t xml:space="preserve">https://aws.amazon.com/government-education/nonprofits/aws-imagine-grant-program/</t>
  </si>
  <si>
    <t xml:space="preserve">HTML</t>
  </si>
  <si>
    <t xml:space="preserve">Edge/agentic AI biosensor+navigator = Pathfinder criteria</t>
  </si>
  <si>
    <t xml:space="preserve">Refresh</t>
  </si>
  <si>
    <t xml:space="preserve">F004</t>
  </si>
  <si>
    <t xml:space="preserve">NSF X-Labs — Topic 1 Sensing &amp; Imaging (Phase 0)</t>
  </si>
  <si>
    <t xml:space="preserve">NSF (TIP)</t>
  </si>
  <si>
    <t xml:space="preserve">Other Transaction</t>
  </si>
  <si>
    <t xml:space="preserve">Offers due 2026-07-13 (solic. open to 2028)</t>
  </si>
  <si>
    <t xml:space="preserve">Phase0 ≤$1.5M/9-12mo→Phase1 ≤$50M/yr; dedicated team</t>
  </si>
  <si>
    <t xml:space="preserve">expert_committee</t>
  </si>
  <si>
    <t xml:space="preserve">Convergent Research FRO</t>
  </si>
  <si>
    <t xml:space="preserve">Hervé Marie-Nelly co-submission</t>
  </si>
  <si>
    <t xml:space="preserve">https://sam.gov/workspace/contract/opp/0da4e39df20f481ca9299b0edefe23d2/view</t>
  </si>
  <si>
    <t xml:space="preserve">https://www.nsf.gov/funding/initiatives/nsf-x-labs</t>
  </si>
  <si>
    <t xml:space="preserve">API(SAM.gov)+RSS</t>
  </si>
  <si>
    <t xml:space="preserve">Adaptive fNIRS spectroscopy headset = Sensing&amp;Imaging exact</t>
  </si>
  <si>
    <t xml:space="preserve">In progress</t>
  </si>
  <si>
    <t xml:space="preserve">Joint submission w/ Hervé Marie-Nelly (ex-insitro)</t>
  </si>
  <si>
    <t xml:space="preserve">F005</t>
  </si>
  <si>
    <t xml:space="preserve">Wellcome Leap — Health Breakthrough Network (HBNet) membership</t>
  </si>
  <si>
    <t xml:space="preserve">Wellcome Leap</t>
  </si>
  <si>
    <t xml:space="preserve">FRO / Moonshot</t>
  </si>
  <si>
    <t xml:space="preserve">Network access</t>
  </si>
  <si>
    <t xml:space="preserve">in-kind</t>
  </si>
  <si>
    <t xml:space="preserve">Intl/US</t>
  </si>
  <si>
    <t xml:space="preserve">Rolling</t>
  </si>
  <si>
    <t xml:space="preserve">Always open (do now)</t>
  </si>
  <si>
    <t xml:space="preserve">Email HBNet@wellcomeleap.org; sign MARFA/CORFA</t>
  </si>
  <si>
    <t xml:space="preserve">internal_panel</t>
  </si>
  <si>
    <t xml:space="preserve">All Wellcome Leap programs</t>
  </si>
  <si>
    <t xml:space="preserve">HBNet@wellcomeleap.org</t>
  </si>
  <si>
    <t xml:space="preserve">https://wellcomeleap.org/wellcome-leap-hbnet/</t>
  </si>
  <si>
    <t xml:space="preserve">https://wellcomeleap.org/</t>
  </si>
  <si>
    <t xml:space="preserve">Newsletter</t>
  </si>
  <si>
    <t xml:space="preserve">Free prerequisite that unlocks every Leap program</t>
  </si>
  <si>
    <t xml:space="preserve">Emailed HBNet Dec 15 2025 + reminder Jan 26 2026 — NO RESPONSE</t>
  </si>
  <si>
    <t xml:space="preserve">Escalate: via an HBNet member institution (Manchester/Madhvi?, McLean, Mt Sinai) or a Program Director (e.g., Susanne Ahmari/MCPsych); the shared inbox is unresponsive</t>
  </si>
  <si>
    <t xml:space="preserve">F006</t>
  </si>
  <si>
    <t xml:space="preserve">Convergent Research — FRO idea submission</t>
  </si>
  <si>
    <t xml:space="preserve">Convergent Research</t>
  </si>
  <si>
    <t xml:space="preserve">FRO incubation</t>
  </si>
  <si>
    <t xml:space="preserve">grant (match)</t>
  </si>
  <si>
    <t xml:space="preserve">US/UK</t>
  </si>
  <si>
    <t xml:space="preserve">Always open (no deadline)</t>
  </si>
  <si>
    <t xml:space="preserve">Abstract→eval→funder match→incubate (6-18mo)</t>
  </si>
  <si>
    <t xml:space="preserve">NSF X-Labs; Schmidt/Astera</t>
  </si>
  <si>
    <t xml:space="preserve">Adam Marblestone network; FAS.org</t>
  </si>
  <si>
    <t xml:space="preserve">https://noteforms.com/forms/fro-abstract-submissions-uyswk3</t>
  </si>
  <si>
    <t xml:space="preserve">https://www.convergentresearch.org/get-involved</t>
  </si>
  <si>
    <t xml:space="preserve">Open Cytoverse atlas is textbook FRO; $10M+ anchor</t>
  </si>
  <si>
    <t xml:space="preserve">Adam Marblestone / FAS FRO network</t>
  </si>
  <si>
    <t xml:space="preserve">F007</t>
  </si>
  <si>
    <t xml:space="preserve">Anthropic — AI for Science (Claude credits)</t>
  </si>
  <si>
    <t xml:space="preserve">Anthropic</t>
  </si>
  <si>
    <t xml:space="preserve">Compute credits</t>
  </si>
  <si>
    <t xml:space="preserve">credits</t>
  </si>
  <si>
    <t xml:space="preserve">Intl</t>
  </si>
  <si>
    <t xml:space="preserve">Monthly (1st Monday)</t>
  </si>
  <si>
    <t xml:space="preserve">2-4wk; monthly decision; 6-mo credit validity</t>
  </si>
  <si>
    <t xml:space="preserve">Cohere; NAIRR</t>
  </si>
  <si>
    <t xml:space="preserve">Claude for Nonprofits (already granted)</t>
  </si>
  <si>
    <t xml:space="preserve">https://www.anthropic.com/news/ai-for-science-program</t>
  </si>
  <si>
    <t xml:space="preserve">Low-friction credits for Cytoverse FM + Cytonome</t>
  </si>
  <si>
    <t xml:space="preserve">F008</t>
  </si>
  <si>
    <t xml:space="preserve">NAIRR Pilot — GPU compute allocation</t>
  </si>
  <si>
    <t xml:space="preserve">NSF / NAIRR</t>
  </si>
  <si>
    <t xml:space="preserve">Compute access</t>
  </si>
  <si>
    <t xml:space="preserve">Quarterly review cycles</t>
  </si>
  <si>
    <t xml:space="preserve">Apply→quarterly allocation; DOE-lab GPU time</t>
  </si>
  <si>
    <t xml:space="preserve">Anthropic; Lambda</t>
  </si>
  <si>
    <t xml:space="preserve">—</t>
  </si>
  <si>
    <t xml:space="preserve">https://nairrpilot.org/opportunities/allocations</t>
  </si>
  <si>
    <t xml:space="preserve">https://nairrpilot.org/opportunities</t>
  </si>
  <si>
    <t xml:space="preserve">Cleanest nonprofit path to large GPU for Cytoverse training</t>
  </si>
  <si>
    <t xml:space="preserve">F009</t>
  </si>
  <si>
    <t xml:space="preserve">ARPA-H — Proactive Health Office (PHO) ISO</t>
  </si>
  <si>
    <t xml:space="preserve">Mission Office ISO</t>
  </si>
  <si>
    <t xml:space="preserve">Solution Summaries rolling to 2029-03-05</t>
  </si>
  <si>
    <t xml:space="preserve">SS→~4.5mo encourage→45d full→~8-9mo cash</t>
  </si>
  <si>
    <t xml:space="preserve">1</t>
  </si>
  <si>
    <t xml:space="preserve">ARPA-H IGoR; DELPHI</t>
  </si>
  <si>
    <t xml:space="preserve">ARPA-H Vitals; PHO PM office</t>
  </si>
  <si>
    <t xml:space="preserve">https://sam.gov/opp/a5b72db5139040f8b2a1dcc2d2c96733/view</t>
  </si>
  <si>
    <t xml:space="preserve">API(SAM.gov)</t>
  </si>
  <si>
    <t xml:space="preserve">'Prevent people becoming patients' = proactive health mission</t>
  </si>
  <si>
    <t xml:space="preserve">ARPA-H Vitals; Ananth Grama</t>
  </si>
  <si>
    <t xml:space="preserve">F010</t>
  </si>
  <si>
    <t xml:space="preserve">ARPA-H — Health Science Futures (HSF) ISO</t>
  </si>
  <si>
    <t xml:space="preserve">Rolling to 2029-03-05</t>
  </si>
  <si>
    <t xml:space="preserve">SS→encourage→full; ~8-9mo to cash</t>
  </si>
  <si>
    <t xml:space="preserve">ARPA-H PHO; IGoR</t>
  </si>
  <si>
    <t xml:space="preserve">ARPA-H Vitals</t>
  </si>
  <si>
    <t xml:space="preserve">https://sam.gov/opp/29c3ac2ea6754d1f897f9c71204c0eea/view</t>
  </si>
  <si>
    <t xml:space="preserve">AI×biology + multi-scale modeling = Cytoverse</t>
  </si>
  <si>
    <t xml:space="preserve">F011</t>
  </si>
  <si>
    <t xml:space="preserve">NIMH — Parent R21 (computational psychiatry pilot)</t>
  </si>
  <si>
    <t xml:space="preserve">R-series grant</t>
  </si>
  <si>
    <t xml:space="preserve">Std dates Feb/Jun/Oct</t>
  </si>
  <si>
    <t xml:space="preserve">~9-12mo submit→award; 2yr / ≤$275K</t>
  </si>
  <si>
    <t xml:space="preserve">NIMH U01/R34</t>
  </si>
  <si>
    <t xml:space="preserve">NIMH program officer (DTR)</t>
  </si>
  <si>
    <t xml:space="preserve">https://grants.nih.gov/funding/activity-codes/R21</t>
  </si>
  <si>
    <t xml:space="preserve">https://grants.nih.gov/grants/guide</t>
  </si>
  <si>
    <t xml:space="preserve">Ideal first NIH grant: biotyping/biomarker pilot</t>
  </si>
  <si>
    <t xml:space="preserve">F012</t>
  </si>
  <si>
    <t xml:space="preserve">NIMH BRAIN: Data Archives (RFA-MH-25-110, R24)</t>
  </si>
  <si>
    <t xml:space="preserve">R24 grant</t>
  </si>
  <si>
    <t xml:space="preserve">through 2026-06-25</t>
  </si>
  <si>
    <t xml:space="preserve">Std NIH timeline</t>
  </si>
  <si>
    <t xml:space="preserve">Cytoverse open data</t>
  </si>
  <si>
    <t xml:space="preserve">BRAIN Alliance</t>
  </si>
  <si>
    <t xml:space="preserve">https://grants.nih.gov/grants/guide/rfa-files/RFA-MH-25-110.html</t>
  </si>
  <si>
    <t xml:space="preserve">Funds Cytoverse as open FAIR psychiatric data archive</t>
  </si>
  <si>
    <t xml:space="preserve">F013</t>
  </si>
  <si>
    <t xml:space="preserve">NIMH BRAIN: Health-Equity Tech Partnerships (RFA-NS-25-016, R34)</t>
  </si>
  <si>
    <t xml:space="preserve">R34 planning grant</t>
  </si>
  <si>
    <t xml:space="preserve">through 2026-06-18</t>
  </si>
  <si>
    <t xml:space="preserve">Planning grant ~2-3yr</t>
  </si>
  <si>
    <t xml:space="preserve">NIMH U01</t>
  </si>
  <si>
    <t xml:space="preserve">https://grants.nih.gov/grants/guide/rfa-files/RFA-NS-25-016.html</t>
  </si>
  <si>
    <t xml:space="preserve">Brain-tech + underserved communities framing</t>
  </si>
  <si>
    <t xml:space="preserve">F014</t>
  </si>
  <si>
    <t xml:space="preserve">Convergent Research / Renaissance — Emergent Ventures (bridge)</t>
  </si>
  <si>
    <t xml:space="preserve">Mercatus Center</t>
  </si>
  <si>
    <t xml:space="preserve">EA / Longtermist</t>
  </si>
  <si>
    <t xml:space="preserve">Micro-grant</t>
  </si>
  <si>
    <t xml:space="preserve">Rolling (~7-day turnaround)</t>
  </si>
  <si>
    <t xml:space="preserve">Email pitch→days-weeks</t>
  </si>
  <si>
    <t xml:space="preserve">Manifund; SFF</t>
  </si>
  <si>
    <t xml:space="preserve">Tyler Cowen</t>
  </si>
  <si>
    <t xml:space="preserve">https://www.mercatus.org/emergent-ventures</t>
  </si>
  <si>
    <t xml:space="preserve">Fast non-dilutive bridge + credibility for moonshot</t>
  </si>
  <si>
    <t xml:space="preserve">F015</t>
  </si>
  <si>
    <t xml:space="preserve">Patrick J. McGovern Foundation — Data Practice Accelerator</t>
  </si>
  <si>
    <t xml:space="preserve">Patrick J. McGovern Foundation</t>
  </si>
  <si>
    <t xml:space="preserve">Philanthropic</t>
  </si>
  <si>
    <t xml:space="preserve">Capacity grant</t>
  </si>
  <si>
    <t xml:space="preserve">US/Intl</t>
  </si>
  <si>
    <t xml:space="preserve">~2026-07-01 (rolling cohorts)</t>
  </si>
  <si>
    <t xml:space="preserve">Rolling EOI→cohort; ≤$125K + in-kind</t>
  </si>
  <si>
    <t xml:space="preserve">PJMF program officers</t>
  </si>
  <si>
    <t xml:space="preserve">https://www.mcgovern.org/grants/</t>
  </si>
  <si>
    <t xml:space="preserve">https://www.mcgovern.org</t>
  </si>
  <si>
    <t xml:space="preserve">AI-for-public-good data org; starter capital + capacity</t>
  </si>
  <si>
    <t xml:space="preserve">F016</t>
  </si>
  <si>
    <t xml:space="preserve">NVIDIA — Academic Grant Program (GPU hardware)</t>
  </si>
  <si>
    <t xml:space="preserve">NVIDIA</t>
  </si>
  <si>
    <t xml:space="preserve">Hardware grant</t>
  </si>
  <si>
    <t xml:space="preserve">Always open</t>
  </si>
  <si>
    <t xml:space="preserve">Apply→4-8wk review</t>
  </si>
  <si>
    <t xml:space="preserve">NAIRR; Lambda</t>
  </si>
  <si>
    <t xml:space="preserve">NVIDIA Inception</t>
  </si>
  <si>
    <t xml:space="preserve">https://academicgrants.nvidia.com/academicgrantprogram/s/Application</t>
  </si>
  <si>
    <t xml:space="preserve">https://www.nvidia.com/en-us/industries/higher-education-research/academic-grant-program/</t>
  </si>
  <si>
    <t xml:space="preserve">H100-class hardware for Cytoverse training + edge inference</t>
  </si>
  <si>
    <t xml:space="preserve">F017</t>
  </si>
  <si>
    <t xml:space="preserve">Cohere Labs — Catalyst Grants (credits)</t>
  </si>
  <si>
    <t xml:space="preserve">Cohere</t>
  </si>
  <si>
    <t xml:space="preserve">Apply→rolling review; email labs@cohere.com</t>
  </si>
  <si>
    <t xml:space="preserve">Anthropic AI for Science</t>
  </si>
  <si>
    <t xml:space="preserve">https://cohere.com/research/grants/application</t>
  </si>
  <si>
    <t xml:space="preserve">https://cohere.com/research/grants</t>
  </si>
  <si>
    <t xml:space="preserve">Healthcare is explicit focus; on-device Cytonome fit</t>
  </si>
  <si>
    <t xml:space="preserve">F018</t>
  </si>
  <si>
    <t xml:space="preserve">Microsoft — AI for Health (credits + collaboration)</t>
  </si>
  <si>
    <t xml:space="preserve">Microsoft</t>
  </si>
  <si>
    <t xml:space="preserve">Credits + collab</t>
  </si>
  <si>
    <t xml:space="preserve">Apply→rolling team response</t>
  </si>
  <si>
    <t xml:space="preserve">Founders Hub (PBC)</t>
  </si>
  <si>
    <t xml:space="preserve">MSR AI for Good Lab</t>
  </si>
  <si>
    <t xml:space="preserve">https://www.microsoft.com/en-us/research/project/ai-for-health/</t>
  </si>
  <si>
    <t xml:space="preserve">https://www.microsoft.com/en-us/research/group/ai-for-good-research-lab/</t>
  </si>
  <si>
    <t xml:space="preserve">AI×health Azure credits + researcher collaboration</t>
  </si>
  <si>
    <t xml:space="preserve">F019</t>
  </si>
  <si>
    <t xml:space="preserve">OneMind — Rising Star Award</t>
  </si>
  <si>
    <t xml:space="preserve">One Mind</t>
  </si>
  <si>
    <t xml:space="preserve">Mental-Health Foundation</t>
  </si>
  <si>
    <t xml:space="preserve">Research grant</t>
  </si>
  <si>
    <t xml:space="preserve">Partner-only (faculty-equiv host)</t>
  </si>
  <si>
    <t xml:space="preserve">BACKUP</t>
  </si>
  <si>
    <t xml:space="preserve">Watch</t>
  </si>
  <si>
    <t xml:space="preserve">Annual Feb–Apr (2026 closed 04-27)</t>
  </si>
  <si>
    <t xml:space="preserve">~6-8wk; submit→Jul decision→Jan funds; 3yr/$300K</t>
  </si>
  <si>
    <t xml:space="preserve">2</t>
  </si>
  <si>
    <t xml:space="preserve">OneMind Accelerator/OMLEC</t>
  </si>
  <si>
    <t xml:space="preserve">CSO Tahilia Rebello; OMLEC</t>
  </si>
  <si>
    <t xml:space="preserve">https://onemind.org/what-we-do/one-mind-rising-star-academy/one-mind-rising-star-awards/</t>
  </si>
  <si>
    <t xml:space="preserve">https://onemind.org/</t>
  </si>
  <si>
    <t xml:space="preserve">Transdiagnostic precision psychiatry + AI biomarkers; needs academic-affiliated PI</t>
  </si>
  <si>
    <t xml:space="preserve">Not started — needs academic-host PI</t>
  </si>
  <si>
    <t xml:space="preserve">OneMind CSO Tahilia Rebello; OMLEC</t>
  </si>
  <si>
    <t xml:space="preserve">F020</t>
  </si>
  <si>
    <t xml:space="preserve">Google.org — AI for Science Impact Challenge</t>
  </si>
  <si>
    <t xml:space="preserve">Google.org</t>
  </si>
  <si>
    <t xml:space="preserve">Grant + accelerator</t>
  </si>
  <si>
    <t xml:space="preserve">Closed-next</t>
  </si>
  <si>
    <t xml:space="preserve">~Q1 2027 (cycle just closed 05-01)</t>
  </si>
  <si>
    <t xml:space="preserve">6-8wk prep; submit→~4mo decision</t>
  </si>
  <si>
    <t xml:space="preserve">Google GenAI Accelerator</t>
  </si>
  <si>
    <t xml:space="preserve">https://www.google.org/impact-challenges/ai-science/</t>
  </si>
  <si>
    <t xml:space="preserve">https://blog.google/outreach-initiatives/google-org/</t>
  </si>
  <si>
    <t xml:space="preserve">'GPS for biology' + open-source mandate = near-exact</t>
  </si>
  <si>
    <t xml:space="preserve">F021</t>
  </si>
  <si>
    <t xml:space="preserve">OpenAI Foundation — Life Sciences &amp; Curing Diseases</t>
  </si>
  <si>
    <t xml:space="preserve">OpenAI Foundation</t>
  </si>
  <si>
    <t xml:space="preserve">Grant (cash)</t>
  </si>
  <si>
    <t xml:space="preserve">Path/nonprofit</t>
  </si>
  <si>
    <t xml:space="preserve">Mechanism expected H2 2026</t>
  </si>
  <si>
    <t xml:space="preserve">Submit interest now; RFP forthcoming</t>
  </si>
  <si>
    <t xml:space="preserve">OpenAI MH grants</t>
  </si>
  <si>
    <t xml:space="preserve">Jacob Trefethen (lead)</t>
  </si>
  <si>
    <t xml:space="preserve">https://openaifoundation.org</t>
  </si>
  <si>
    <t xml:space="preserve">$1B program; neuro/Alzheimer's + open health data</t>
  </si>
  <si>
    <t xml:space="preserve">F022</t>
  </si>
  <si>
    <t xml:space="preserve">OpenAI — AI &amp; Mental Health Research Grants</t>
  </si>
  <si>
    <t xml:space="preserve">OpenAI</t>
  </si>
  <si>
    <t xml:space="preserve">~Q4 2026 (closed Dec 2025)</t>
  </si>
  <si>
    <t xml:space="preserve">~6wk; Jan decision</t>
  </si>
  <si>
    <t xml:space="preserve">OpenAI Foundation LS</t>
  </si>
  <si>
    <t xml:space="preserve">https://openai.com/index/ai-mental-health-research-grants/</t>
  </si>
  <si>
    <t xml:space="preserve">https://openai.smapply.org</t>
  </si>
  <si>
    <t xml:space="preserve">Direct AI × mental health; high signal, small $</t>
  </si>
  <si>
    <t xml:space="preserve">F023</t>
  </si>
  <si>
    <t xml:space="preserve">CZI Science — AI/GPU Compute RFA</t>
  </si>
  <si>
    <t xml:space="preserve">Chan Zuckerberg Initiative</t>
  </si>
  <si>
    <t xml:space="preserve">Compute (in-kind)</t>
  </si>
  <si>
    <t xml:space="preserve">Cycle 2 TBD (Cycle 1 closed 2025-06-18)</t>
  </si>
  <si>
    <t xml:space="preserve">Rolling during open window</t>
  </si>
  <si>
    <t xml:space="preserve">CZI EOSS</t>
  </si>
  <si>
    <t xml:space="preserve">sciencegrants@chanzuckerberg.com</t>
  </si>
  <si>
    <t xml:space="preserve">https://chanzuckerberg.com/rfa/</t>
  </si>
  <si>
    <t xml:space="preserve">https://chanzuckerberg.com/science/science-funding/</t>
  </si>
  <si>
    <t xml:space="preserve">Virtual-cell / foundation-model biology; nonprofit-eligible</t>
  </si>
  <si>
    <t xml:space="preserve">Angela Oliveira Pisco (Dir. Data Science, CZI; ex-insitro manager) — WARM</t>
  </si>
  <si>
    <t xml:space="preserve">F024</t>
  </si>
  <si>
    <t xml:space="preserve">CZI Science — Essential Open Source Software (EOSS) Cycle 6</t>
  </si>
  <si>
    <t xml:space="preserve">OSS grant</t>
  </si>
  <si>
    <t xml:space="preserve">LOI 2026-10-18</t>
  </si>
  <si>
    <t xml:space="preserve">LOI Oct→invited full→2027 awards</t>
  </si>
  <si>
    <t xml:space="preserve">CZI AI/GPU RFA</t>
  </si>
  <si>
    <t xml:space="preserve">https://chanzuckerberg.com/rfa/essential-open-source-software-for-science/</t>
  </si>
  <si>
    <t xml:space="preserve">https://chanzuckerberg.com/science/programs-resources/open-science/grants/</t>
  </si>
  <si>
    <t xml:space="preserve">Cytoverse open tools (Apache 2.0) near-perfect fit</t>
  </si>
  <si>
    <t xml:space="preserve">Angela Oliveira Pisco (CZI) — WARM</t>
  </si>
  <si>
    <t xml:space="preserve">F025</t>
  </si>
  <si>
    <t xml:space="preserve">McKnight — Technology Awards (neuro tools)</t>
  </si>
  <si>
    <t xml:space="preserve">McKnight Endowment for Neuroscience</t>
  </si>
  <si>
    <t xml:space="preserve">Innovation grant</t>
  </si>
  <si>
    <t xml:space="preserve">Opens ~Aug 1 2026</t>
  </si>
  <si>
    <t xml:space="preserve">Annual; ~$200K/yr x2</t>
  </si>
  <si>
    <t xml:space="preserve">BBRF; Allen ADI</t>
  </si>
  <si>
    <t xml:space="preserve">https://www.mcknight.org/programs/the-mcknight-endowment-fund-for-neuroscience/technology-awards/</t>
  </si>
  <si>
    <t xml:space="preserve">https://www.mcknight.org</t>
  </si>
  <si>
    <t xml:space="preserve">'New &amp; unusual approaches to brain function' = Cytoscope</t>
  </si>
  <si>
    <t xml:space="preserve">F026</t>
  </si>
  <si>
    <t xml:space="preserve">Tiny Blue Dot Foundation — Perception Box (Round 5)</t>
  </si>
  <si>
    <t xml:space="preserve">Tiny Blue Dot Foundation</t>
  </si>
  <si>
    <t xml:space="preserve">Yes (501c3)</t>
  </si>
  <si>
    <t xml:space="preserve">~Sep LOI (annual)</t>
  </si>
  <si>
    <t xml:space="preserve">LOI Sep→Dec select→spring full; ≤$900K/3yr</t>
  </si>
  <si>
    <t xml:space="preserve">OneMind RSA</t>
  </si>
  <si>
    <t xml:space="preserve">https://www.tinybluedotfoundation.org/research/rfp</t>
  </si>
  <si>
    <t xml:space="preserve">https://www.tinybluedotfoundation.org/</t>
  </si>
  <si>
    <t xml:space="preserve">Brain constructs reality + AI/neuromod/wearables; 501c3 eligible</t>
  </si>
  <si>
    <t xml:space="preserve">F027</t>
  </si>
  <si>
    <t xml:space="preserve">Simons Foundation — SFARI New Ideas Award</t>
  </si>
  <si>
    <t xml:space="preserve">Simons Foundation</t>
  </si>
  <si>
    <t xml:space="preserve">Yes (independent PI)</t>
  </si>
  <si>
    <t xml:space="preserve">LOI rolling from 2026-04-29</t>
  </si>
  <si>
    <t xml:space="preserve">LOI→3-4mo decision</t>
  </si>
  <si>
    <t xml:space="preserve">SCGB</t>
  </si>
  <si>
    <t xml:space="preserve">https://www.sfari.org/grant/new-ideas-request-for-applications/</t>
  </si>
  <si>
    <t xml:space="preserve">https://www.sfari.org/funding-opportunities/</t>
  </si>
  <si>
    <t xml:space="preserve">Autism/NDD precision phenotyping adjacent to pilot</t>
  </si>
  <si>
    <t xml:space="preserve">F028</t>
  </si>
  <si>
    <t xml:space="preserve">CIAPM — Precision Medicine Research (CA)</t>
  </si>
  <si>
    <t xml:space="preserve">CA Initiative to Advance Precision Medicine</t>
  </si>
  <si>
    <t xml:space="preserve">State grant</t>
  </si>
  <si>
    <t xml:space="preserve">Partial (CA-based)</t>
  </si>
  <si>
    <t xml:space="preserve">CA</t>
  </si>
  <si>
    <t xml:space="preserve">Next cycle on CA budget (~summer)</t>
  </si>
  <si>
    <t xml:space="preserve">LOI→full→award; 2.5yr</t>
  </si>
  <si>
    <t xml:space="preserve">UCSF AIM; Stanford PMHW</t>
  </si>
  <si>
    <t xml:space="preserve">CHHS; CA partners</t>
  </si>
  <si>
    <t xml:space="preserve">https://ciapm-chhs.submittable.com/submit</t>
  </si>
  <si>
    <t xml:space="preserve">https://ciapm.chhs.ca.gov/activity/news.html</t>
  </si>
  <si>
    <t xml:space="preserve">Depression precision medicine + equity; CA HQ is an asset</t>
  </si>
  <si>
    <t xml:space="preserve">F029</t>
  </si>
  <si>
    <t xml:space="preserve">Fast Forward — Tech-Nonprofit Accelerator (2027)</t>
  </si>
  <si>
    <t xml:space="preserve">Fast Forward</t>
  </si>
  <si>
    <t xml:space="preserve">Accelerator + grant</t>
  </si>
  <si>
    <t xml:space="preserve">Yes (tech-nonprofit)</t>
  </si>
  <si>
    <t xml:space="preserve">Apps 2026-07-30 to 09-08</t>
  </si>
  <si>
    <t xml:space="preserve">Apply Jul-Sep→Feb-May 2027 program; $25K+ unrestricted</t>
  </si>
  <si>
    <t xml:space="preserve">Google.org GenAI</t>
  </si>
  <si>
    <t xml:space="preserve">ffwd.org newsletters</t>
  </si>
  <si>
    <t xml:space="preserve">https://www.ffwd.org/accelerator</t>
  </si>
  <si>
    <t xml:space="preserve">Only accelerator built for AI/tech nonprofits; exact 501c3 fit</t>
  </si>
  <si>
    <t xml:space="preserve">F030</t>
  </si>
  <si>
    <t xml:space="preserve">Speculative Technologies — Brains Accelerator (2027)</t>
  </si>
  <si>
    <t xml:space="preserve">Speculative Technologies</t>
  </si>
  <si>
    <t xml:space="preserve">Accelerator</t>
  </si>
  <si>
    <t xml:space="preserve">Yes (individual)</t>
  </si>
  <si>
    <t xml:space="preserve">Apps open ~Oct 2026</t>
  </si>
  <si>
    <t xml:space="preserve">15wk part-time; connects to FRO funders</t>
  </si>
  <si>
    <t xml:space="preserve">Convergent FRO; Renaissance</t>
  </si>
  <si>
    <t xml:space="preserve">Ben Reinhardt</t>
  </si>
  <si>
    <t xml:space="preserve">https://spec.tech/brains</t>
  </si>
  <si>
    <t xml:space="preserve">Develop Cytoverse/Cytoscope as coordinated research program</t>
  </si>
  <si>
    <t xml:space="preserve">Applied — rejected</t>
  </si>
  <si>
    <t xml:space="preserve">Reapply 2027 with reframe; Ben Reinhardt</t>
  </si>
  <si>
    <t xml:space="preserve">F031</t>
  </si>
  <si>
    <t xml:space="preserve">Astera Institute — Residency (Spring 2027)</t>
  </si>
  <si>
    <t xml:space="preserve">Astera Institute</t>
  </si>
  <si>
    <t xml:space="preserve">Residency</t>
  </si>
  <si>
    <t xml:space="preserve">fellowship</t>
  </si>
  <si>
    <t xml:space="preserve">US (onsite Emeryville)</t>
  </si>
  <si>
    <t xml:space="preserve">Next cycle ~fall 2026 (closed 04-19)</t>
  </si>
  <si>
    <t xml:space="preserve">Apply→admit; salary + ≤$1.5M project</t>
  </si>
  <si>
    <t xml:space="preserve">Convergent FRO</t>
  </si>
  <si>
    <t xml:space="preserve">Astera Substack</t>
  </si>
  <si>
    <t xml:space="preserve">https://astera.org/residency/</t>
  </si>
  <si>
    <t xml:space="preserve">Neuro-AI + open science; pre-commercial; was prior denial</t>
  </si>
  <si>
    <t xml:space="preserve">Reapply Spring 2027; Neuro-AI/open-science framing</t>
  </si>
  <si>
    <t xml:space="preserve">F032</t>
  </si>
  <si>
    <t xml:space="preserve">Activate — Cyclotron Road Fellowship (2027)</t>
  </si>
  <si>
    <t xml:space="preserve">Activate</t>
  </si>
  <si>
    <t xml:space="preserve">Fellowship</t>
  </si>
  <si>
    <t xml:space="preserve">Yes (individual, no equity)</t>
  </si>
  <si>
    <t xml:space="preserve">Apps ~Oct 2026</t>
  </si>
  <si>
    <t xml:space="preserve">&gt;$300K/2yr stipend + R&amp;D; no equity</t>
  </si>
  <si>
    <t xml:space="preserve">NSF X-Labs</t>
  </si>
  <si>
    <t xml:space="preserve">https://activate.org/apply</t>
  </si>
  <si>
    <t xml:space="preserve">https://activate.org/the-fellowship</t>
  </si>
  <si>
    <t xml:space="preserve">Hardware/sensor vertical for Cytoscope; founder-led</t>
  </si>
  <si>
    <t xml:space="preserve">F033</t>
  </si>
  <si>
    <t xml:space="preserve">BBRF — NARSAD Young Investigator Grant</t>
  </si>
  <si>
    <t xml:space="preserve">Brain &amp; Behavior Research Foundation</t>
  </si>
  <si>
    <t xml:space="preserve">Partial (institution host)</t>
  </si>
  <si>
    <t xml:space="preserve">Annual ~Feb</t>
  </si>
  <si>
    <t xml:space="preserve">Feb open→fall decision; $70K/2yr</t>
  </si>
  <si>
    <t xml:space="preserve">NIMH R21</t>
  </si>
  <si>
    <t xml:space="preserve">https://bbrfoundation.org/grants-prizes/bbrf-young-investigator-grants</t>
  </si>
  <si>
    <t xml:space="preserve">https://bbrfoundation.org/grants-prizes/grants</t>
  </si>
  <si>
    <t xml:space="preserve">Dx tools/biomarkers for depression/anxiety/psychosis; needs faculty-equiv host</t>
  </si>
  <si>
    <t xml:space="preserve">F034</t>
  </si>
  <si>
    <t xml:space="preserve">AFSP — Focus / Innovation Research Grants</t>
  </si>
  <si>
    <t xml:space="preserve">American Foundation for Suicide Prevention</t>
  </si>
  <si>
    <t xml:space="preserve">Yes (nonprofit)</t>
  </si>
  <si>
    <t xml:space="preserve">LOI ~Aug; full ~Nov-Dec</t>
  </si>
  <si>
    <t xml:space="preserve">LOI Aug→full Dec→May decision</t>
  </si>
  <si>
    <t xml:space="preserve">NIMH</t>
  </si>
  <si>
    <t xml:space="preserve">https://afsp.org/research-grant-information/</t>
  </si>
  <si>
    <t xml:space="preserve">https://afsp.org/research-grants/</t>
  </si>
  <si>
    <t xml:space="preserve">Suicide-risk biomarkers in-scope; nonprofit institution eligible</t>
  </si>
  <si>
    <t xml:space="preserve">F035</t>
  </si>
  <si>
    <t xml:space="preserve">Coefficient Giving — Science &amp; Global Health R&amp;D</t>
  </si>
  <si>
    <t xml:space="preserve">Coefficient Giving (ex-Open Phil)</t>
  </si>
  <si>
    <t xml:space="preserve">Major grant</t>
  </si>
  <si>
    <t xml:space="preserve">Proactive / unsolicited (~1-2%)</t>
  </si>
  <si>
    <t xml:space="preserve">1-2pg brief→PO response; 5-12mo</t>
  </si>
  <si>
    <t xml:space="preserve">EA Funds</t>
  </si>
  <si>
    <t xml:space="preserve">science@coefficientgiving.org</t>
  </si>
  <si>
    <t xml:space="preserve">https://coefficientgiving.org/apply-for-funding/</t>
  </si>
  <si>
    <t xml:space="preserve">https://coefficientgiving.org/funds/</t>
  </si>
  <si>
    <t xml:space="preserve">Big philanthropy; neglected-disease framing needed; cold path</t>
  </si>
  <si>
    <t xml:space="preserve">Planned</t>
  </si>
  <si>
    <t xml:space="preserve">science@coefficientgiving.org (cold)</t>
  </si>
  <si>
    <t xml:space="preserve">F036</t>
  </si>
  <si>
    <t xml:space="preserve">Google.org — Generative AI Accelerator</t>
  </si>
  <si>
    <t xml:space="preserve">~fall 2026 (2025 cohort selected)</t>
  </si>
  <si>
    <t xml:space="preserve">Annual; 6-mo pro-bono + credits + ≥$500K</t>
  </si>
  <si>
    <t xml:space="preserve">Google.org AI for Science</t>
  </si>
  <si>
    <t xml:space="preserve">https://impactchallenge.withgoogle.com/genaiaccelerator</t>
  </si>
  <si>
    <t xml:space="preserve">GenAI for health; Cytonome on-device angle</t>
  </si>
  <si>
    <t xml:space="preserve">F037</t>
  </si>
  <si>
    <t xml:space="preserve">NSF Convergence Accelerator (next cohort)</t>
  </si>
  <si>
    <t xml:space="preserve">Next DCL TBD</t>
  </si>
  <si>
    <t xml:space="preserve">Ideation→Ph1 ≤$750K→Ph2 ≤$5M</t>
  </si>
  <si>
    <t xml:space="preserve">https://www.nsf.gov/funding/initiatives/convergence-accelerator</t>
  </si>
  <si>
    <t xml:space="preserve">RSS(NSF)</t>
  </si>
  <si>
    <t xml:space="preserve">Health+AI track if released; consortium model</t>
  </si>
  <si>
    <t xml:space="preserve">Existing</t>
  </si>
  <si>
    <t xml:space="preserve">F038</t>
  </si>
  <si>
    <t xml:space="preserve">NSF–NIH Smart Health &amp; Biomedical Research</t>
  </si>
  <si>
    <t xml:space="preserve">NSF / NIH</t>
  </si>
  <si>
    <t xml:space="preserve">Annual ~Sep-Oct</t>
  </si>
  <si>
    <t xml:space="preserve">~$1.2M/4yr</t>
  </si>
  <si>
    <t xml:space="preserve">https://www.nsf.gov/funding/opportunities/sch-smart-health-biomedical-research-era-artificial-intelligence/nsf25-542/solicitation</t>
  </si>
  <si>
    <t xml:space="preserve">https://www.nsf.gov/funding/opportunities</t>
  </si>
  <si>
    <t xml:space="preserve">Multimodal AI sensing in health</t>
  </si>
  <si>
    <t xml:space="preserve">F039</t>
  </si>
  <si>
    <t xml:space="preserve">PCORI — Methods (AI/ML in patient-centered research)</t>
  </si>
  <si>
    <t xml:space="preserve">PCORI</t>
  </si>
  <si>
    <t xml:space="preserve">Methods grant</t>
  </si>
  <si>
    <t xml:space="preserve">LOI cycle (~Apr); next cycle</t>
  </si>
  <si>
    <t xml:space="preserve">LOI→full→~9mo</t>
  </si>
  <si>
    <t xml:space="preserve">NSF Smart Health</t>
  </si>
  <si>
    <t xml:space="preserve">https://www.pcori.org/funding-opportunities</t>
  </si>
  <si>
    <t xml:space="preserve">AI/ML methods for patient-centered research</t>
  </si>
  <si>
    <t xml:space="preserve">F040</t>
  </si>
  <si>
    <t xml:space="preserve">UK ARIA — Scalable / Precision Neurotechnologies</t>
  </si>
  <si>
    <t xml:space="preserve">ARIA (UK)</t>
  </si>
  <si>
    <t xml:space="preserve">Programme</t>
  </si>
  <si>
    <t xml:space="preserve">Yes (intl path)</t>
  </si>
  <si>
    <t xml:space="preserve">UK/US-path</t>
  </si>
  <si>
    <t xml:space="preserve">Next call (program-specific)</t>
  </si>
  <si>
    <t xml:space="preserve">Concept paper→full proposal</t>
  </si>
  <si>
    <t xml:space="preserve">UK partner</t>
  </si>
  <si>
    <t xml:space="preserve">ARIA substack</t>
  </si>
  <si>
    <t xml:space="preserve">https://www.aria.org.uk/opportunity-spaces/scalable-neural-interfaces/</t>
  </si>
  <si>
    <t xml:space="preserve">https://www.aria.org.uk/funding-opportunities/</t>
  </si>
  <si>
    <t xml:space="preserve">Noninvasive neural readout + circuit-level brain = Cytoscope</t>
  </si>
  <si>
    <t xml:space="preserve">F041</t>
  </si>
  <si>
    <t xml:space="preserve">UK ARIA — Opportunity Seeds (rolling)</t>
  </si>
  <si>
    <t xml:space="preserve">Seed grant</t>
  </si>
  <si>
    <t xml:space="preserve">Rolling per opportunity space</t>
  </si>
  <si>
    <t xml:space="preserve">Short seed proposal</t>
  </si>
  <si>
    <t xml:space="preserve">ARIA programmes</t>
  </si>
  <si>
    <t xml:space="preserve">Fast small seeds to enter ARIA orbit</t>
  </si>
  <si>
    <t xml:space="preserve">F042</t>
  </si>
  <si>
    <t xml:space="preserve">Allen Distinguished Investigator (ADI)</t>
  </si>
  <si>
    <t xml:space="preserve">Allen Institute / Frontiers Group</t>
  </si>
  <si>
    <t xml:space="preserve">Investigator grant</t>
  </si>
  <si>
    <t xml:space="preserve">Yes (nonprofit-eligible)</t>
  </si>
  <si>
    <t xml:space="preserve">Call ~every 1-2yr (verify open)</t>
  </si>
  <si>
    <t xml:space="preserve">LOI→invited full</t>
  </si>
  <si>
    <t xml:space="preserve">CZI; Simons</t>
  </si>
  <si>
    <t xml:space="preserve">allenfrontiersgroup@alleninstitute.org</t>
  </si>
  <si>
    <t xml:space="preserve">https://alleninstitute.org/division/frontiers-group/open-calls-science-funding/</t>
  </si>
  <si>
    <t xml:space="preserve">https://alleninstitute.org/news</t>
  </si>
  <si>
    <t xml:space="preserve">'Reinvent entire fields'; nonprofit-eligible; confirm cycle</t>
  </si>
  <si>
    <t xml:space="preserve">Hani Goodarzi (Arc; Virtual Cell + AD effort) — same-highschool tie</t>
  </si>
  <si>
    <t xml:space="preserve">F043</t>
  </si>
  <si>
    <t xml:space="preserve">Renaissance Philanthropy — Big-if-True Science Accelerator</t>
  </si>
  <si>
    <t xml:space="preserve">Renaissance Philanthropy</t>
  </si>
  <si>
    <t xml:space="preserve">Contact for next cohort</t>
  </si>
  <si>
    <t xml:space="preserve">Application→program→funder placement</t>
  </si>
  <si>
    <t xml:space="preserve">Convergent; Spec.tech</t>
  </si>
  <si>
    <t xml:space="preserve">info@renphil.org</t>
  </si>
  <si>
    <t xml:space="preserve">https://www.renaissancephilanthropy.org/programs</t>
  </si>
  <si>
    <t xml:space="preserve">Coordinated-research-program design + ARPA placement</t>
  </si>
  <si>
    <t xml:space="preserve">F044</t>
  </si>
  <si>
    <t xml:space="preserve">EA Infrastructure Fund</t>
  </si>
  <si>
    <t xml:space="preserve">Effective Altruism Funds</t>
  </si>
  <si>
    <t xml:space="preserve">Grant</t>
  </si>
  <si>
    <t xml:space="preserve">Rolling (monthly review)</t>
  </si>
  <si>
    <t xml:space="preserve">Apply→1-3mo→fast disbursement</t>
  </si>
  <si>
    <t xml:space="preserve">https://funds.effectivealtruism.org/apply-for-funding</t>
  </si>
  <si>
    <t xml:space="preserve">https://funds.effectivealtruism.org/grants</t>
  </si>
  <si>
    <t xml:space="preserve">Fast unrestricted runway; mission-fit needs framing</t>
  </si>
  <si>
    <t xml:space="preserve">F045</t>
  </si>
  <si>
    <t xml:space="preserve">NIH Bridge2AI (Stage II)</t>
  </si>
  <si>
    <t xml:space="preserve">NIH Common Fund</t>
  </si>
  <si>
    <t xml:space="preserve">Program grant</t>
  </si>
  <si>
    <t xml:space="preserve">~2026-07-01 / next FOA</t>
  </si>
  <si>
    <t xml:space="preserve">Consortium scale; multi-yr</t>
  </si>
  <si>
    <t xml:space="preserve">PRIMED-AI</t>
  </si>
  <si>
    <t xml:space="preserve">https://bridge2ai.org/</t>
  </si>
  <si>
    <t xml:space="preserve">https://commonfund.nih.gov/bridge2ai</t>
  </si>
  <si>
    <t xml:space="preserve">AI-ready biomedical data ethos = Cytoverse</t>
  </si>
  <si>
    <t xml:space="preserve">F046</t>
  </si>
  <si>
    <t xml:space="preserve">NIH PRIMED-AI</t>
  </si>
  <si>
    <t xml:space="preserve">Solicitations expected 2026</t>
  </si>
  <si>
    <t xml:space="preserve">Listserv→FOA→full</t>
  </si>
  <si>
    <t xml:space="preserve">Bridge2AI</t>
  </si>
  <si>
    <t xml:space="preserve">commonfund.nih.gov/primed-ai</t>
  </si>
  <si>
    <t xml:space="preserve">https://commonfund.nih.gov/primed-ai</t>
  </si>
  <si>
    <t xml:space="preserve">Precision-medicine AI program; monitor for FOA</t>
  </si>
  <si>
    <t xml:space="preserve">F047</t>
  </si>
  <si>
    <t xml:space="preserve">Wellcome Leap — MCPsych / follow-on programs</t>
  </si>
  <si>
    <t xml:space="preserve">Program</t>
  </si>
  <si>
    <t xml:space="preserve">Yes (via HBNet)</t>
  </si>
  <si>
    <t xml:space="preserve">Performer calls via HBNet</t>
  </si>
  <si>
    <t xml:space="preserve">Program-director model; fast cycles</t>
  </si>
  <si>
    <t xml:space="preserve">3</t>
  </si>
  <si>
    <t xml:space="preserve">HBNet (F005)</t>
  </si>
  <si>
    <t xml:space="preserve">Susanne Ahmari (MCPsych)</t>
  </si>
  <si>
    <t xml:space="preserve">https://wellcomeleap.org/mcpsych/</t>
  </si>
  <si>
    <t xml:space="preserve">Anhedonic depression multimodal+AI = Cytoverse meso+MH</t>
  </si>
  <si>
    <t xml:space="preserve">F048</t>
  </si>
  <si>
    <t xml:space="preserve">Wellcome Trust — Mental Health Award: Stratification</t>
  </si>
  <si>
    <t xml:space="preserve">Wellcome Trust</t>
  </si>
  <si>
    <t xml:space="preserve">Yes (intl)</t>
  </si>
  <si>
    <t xml:space="preserve">Verify current call status</t>
  </si>
  <si>
    <t xml:space="preserve">LOI/foundation→full; multi-phase</t>
  </si>
  <si>
    <t xml:space="preserve">Wellcome Leap MCPsych</t>
  </si>
  <si>
    <t xml:space="preserve">https://wellcome.org/research-funding/schemes/mental-health-award-finding-right-treatment-right-people-right-time</t>
  </si>
  <si>
    <t xml:space="preserve">https://wellcome.org/research-funding/guidance/prepare-to-apply/scheme-application-deadlines</t>
  </si>
  <si>
    <t xml:space="preserve">Biotyping/stratification of depression/anxiety = exact pilot; VERIFY</t>
  </si>
  <si>
    <t xml:space="preserve">Not started — verify call status</t>
  </si>
  <si>
    <t xml:space="preserve">Wellcome MH team</t>
  </si>
  <si>
    <t xml:space="preserve">F049</t>
  </si>
  <si>
    <t xml:space="preserve">ARPA-H — SBIR/STTR</t>
  </si>
  <si>
    <t xml:space="preserve">SBIR/STTR</t>
  </si>
  <si>
    <t xml:space="preserve">Path-via-PBC</t>
  </si>
  <si>
    <t xml:space="preserve">SS target ~2026-07-10</t>
  </si>
  <si>
    <t xml:space="preserve">Phase I ≤$600K→Phase II ≤$3.5M</t>
  </si>
  <si>
    <t xml:space="preserve">ARPA-H ISOs</t>
  </si>
  <si>
    <t xml:space="preserve">Proposers' Day Jun 11</t>
  </si>
  <si>
    <t xml:space="preserve">https://arpa-h.gov/explore-funding/sbir</t>
  </si>
  <si>
    <t xml:space="preserve">Strong fit but for-profit only; PBC path</t>
  </si>
  <si>
    <t xml:space="preserve">F050</t>
  </si>
  <si>
    <t xml:space="preserve">NIMH — SBIR/STTR (digital MH / neurotech)</t>
  </si>
  <si>
    <t xml:space="preserve">Omnibus deadlines (3/yr)</t>
  </si>
  <si>
    <t xml:space="preserve">Phase I ≤$300K→Phase II ≤$2M; STTR allows nonprofit partner</t>
  </si>
  <si>
    <t xml:space="preserve">https://www.nimh.nih.gov/funding/sbir</t>
  </si>
  <si>
    <t xml:space="preserve">Excellent post-PBC; STTR lets nonprofit partner</t>
  </si>
  <si>
    <t xml:space="preserve">F051</t>
  </si>
  <si>
    <t xml:space="preserve">OneMind — Accelerator (digital MH)</t>
  </si>
  <si>
    <t xml:space="preserve">equity</t>
  </si>
  <si>
    <t xml:space="preserve">Apps ~Sep (2027 cohort)</t>
  </si>
  <si>
    <t xml:space="preserve">10wk; advisory equity; investor/payer network</t>
  </si>
  <si>
    <t xml:space="preserve">OneMind RSA/OMLEC</t>
  </si>
  <si>
    <t xml:space="preserve">Carmine Di Maro (ED)</t>
  </si>
  <si>
    <t xml:space="preserve">https://onemind.org/what-we-do/one-mind-accelerator/</t>
  </si>
  <si>
    <t xml:space="preserve">Portfolio already funds brain-wearable + MH foundation models; PBC path</t>
  </si>
  <si>
    <t xml:space="preserve">F052</t>
  </si>
  <si>
    <t xml:space="preserve">Techstars AI Health (Baltimore)</t>
  </si>
  <si>
    <t xml:space="preserve">Techstars</t>
  </si>
  <si>
    <t xml:space="preserve">Venture Capital</t>
  </si>
  <si>
    <t xml:space="preserve">Accelerator + investment</t>
  </si>
  <si>
    <t xml:space="preserve">investment</t>
  </si>
  <si>
    <t xml:space="preserve">No (PBC)</t>
  </si>
  <si>
    <t xml:space="preserve">2026-06-10 (Fall cohort)</t>
  </si>
  <si>
    <t xml:space="preserve">$220K SAFE; ~6-9% equity; Sep-Dec program</t>
  </si>
  <si>
    <t xml:space="preserve">due_diligence</t>
  </si>
  <si>
    <t xml:space="preserve">Northwestern Medicine TS</t>
  </si>
  <si>
    <t xml:space="preserve">Johns Hopkins ecosystem</t>
  </si>
  <si>
    <t xml:space="preserve">https://www.techstars.com/accelerators/baltimore-ai-health</t>
  </si>
  <si>
    <t xml:space="preserve">https://www.techstars.com/accelerators</t>
  </si>
  <si>
    <t xml:space="preserve">AI health; PBC-only (equity); strong once for-profit arm exists</t>
  </si>
  <si>
    <t xml:space="preserve">F053</t>
  </si>
  <si>
    <t xml:space="preserve">EU Horizon Europe — Cluster 1 Health</t>
  </si>
  <si>
    <t xml:space="preserve">European Commission</t>
  </si>
  <si>
    <t xml:space="preserve">Intergovernmental</t>
  </si>
  <si>
    <t xml:space="preserve">Consortium grant</t>
  </si>
  <si>
    <t xml:space="preserve">Partner (US self-funded Associated Partner; anchor via UK/EU)</t>
  </si>
  <si>
    <t xml:space="preserve">EU (US 3rd-country)</t>
  </si>
  <si>
    <t xml:space="preserve">2026-01 closed Apr 16; next single-stage ~Sep 15 2026; 2027 calls ~Apr 13 2027</t>
  </si>
  <si>
    <t xml:space="preserve">Consortium-building 3-6mo lead; ≥3 entities/3 countries; UK (Manchester) can be funded coordinator</t>
  </si>
  <si>
    <t xml:space="preserve">EP PerMed; UKRI</t>
  </si>
  <si>
    <t xml:space="preserve">Manchester/Madhvi (UK Horizon-funded since 2024); colleague w/ Horizon experience</t>
  </si>
  <si>
    <t xml:space="preserve">https://research-and-innovation.ec.europa.eu/funding/funding-opportunities/funding-programmes-and-open-calls/horizon-europe/cluster-1-health_en</t>
  </si>
  <si>
    <t xml:space="preserve">https://ec.europa.eu/info/funding-tenders/opportunities/portal</t>
  </si>
  <si>
    <t xml:space="preserve">API(SEDIA CSV)</t>
  </si>
  <si>
    <t xml:space="preserve">Highly value-aligned (open science + patient involvement mandates); €6-8M/project; US = self-funded partner, anchor via Manchester</t>
  </si>
  <si>
    <t xml:space="preserve">Originally planned for expansion phase — start consortium-building NOW for Sep-2026 / 2027 calls</t>
  </si>
  <si>
    <t xml:space="preserve">Manchester/Madhvi (UK = Horizon-funded since 2024); a colleague has Horizon experience</t>
  </si>
  <si>
    <t xml:space="preserve">F054</t>
  </si>
  <si>
    <t xml:space="preserve">Gates Foundation — Grand Challenges (diagnostics)</t>
  </si>
  <si>
    <t xml:space="preserve">Gates Foundation</t>
  </si>
  <si>
    <t xml:space="preserve">Challenge grant</t>
  </si>
  <si>
    <t xml:space="preserve">Intl (LMIC)</t>
  </si>
  <si>
    <t xml:space="preserve">~annual (closed 04-28)</t>
  </si>
  <si>
    <t xml:space="preserve">Phase I ~$100K→Phase II ~$1M+</t>
  </si>
  <si>
    <t xml:space="preserve">gcgh.grandchallenges.org</t>
  </si>
  <si>
    <t xml:space="preserve">https://gcgh.grandchallenges.org/</t>
  </si>
  <si>
    <t xml:space="preserve">https://gcgh.grandchallenges.org/challenges</t>
  </si>
  <si>
    <t xml:space="preserve">Low-cost brain diagnostic for LMIC; watch 2026-27 cycle</t>
  </si>
  <si>
    <t xml:space="preserve">F055</t>
  </si>
  <si>
    <t xml:space="preserve">Schmidt Sciences — AI2050 / AI-for-Science</t>
  </si>
  <si>
    <t xml:space="preserve">Schmidt Sciences</t>
  </si>
  <si>
    <t xml:space="preserve">Fellowship / grant</t>
  </si>
  <si>
    <t xml:space="preserve">Partial (nomination)</t>
  </si>
  <si>
    <t xml:space="preserve">Closed-nomination; invitation</t>
  </si>
  <si>
    <t xml:space="preserve">Nomination→invited application</t>
  </si>
  <si>
    <t xml:space="preserve">invitation_only</t>
  </si>
  <si>
    <t xml:space="preserve">Convergent (funder)</t>
  </si>
  <si>
    <t xml:space="preserve">https://www.schmidtsciences.org/opportunities</t>
  </si>
  <si>
    <t xml:space="preserve">AI×science broadly; no clear path without institutional nomination</t>
  </si>
  <si>
    <t xml:space="preserve">F056</t>
  </si>
  <si>
    <t xml:space="preserve">John Templeton Foundation — Life Sciences</t>
  </si>
  <si>
    <t xml:space="preserve">John Templeton Foundation</t>
  </si>
  <si>
    <t xml:space="preserve">OFI 2026-08-14; FP 2027-01-15</t>
  </si>
  <si>
    <t xml:space="preserve">OFI Aug→Oct decision→FP Jan→2027 award</t>
  </si>
  <si>
    <t xml:space="preserve">Templeton World Charity</t>
  </si>
  <si>
    <t xml:space="preserve">https://www.templeton.org</t>
  </si>
  <si>
    <t xml:space="preserve">Life-sciences/flourishing; weaker without philosophy angle</t>
  </si>
  <si>
    <t xml:space="preserve">F057</t>
  </si>
  <si>
    <t xml:space="preserve">Templeton World Charity — Accelerating Research on Consciousness</t>
  </si>
  <si>
    <t xml:space="preserve">Templeton World Charity Foundation</t>
  </si>
  <si>
    <t xml:space="preserve">Periodic RFPs (adversarial collab.)</t>
  </si>
  <si>
    <t xml:space="preserve">Invitation via structured collaboration</t>
  </si>
  <si>
    <t xml:space="preserve">JTF Life Sciences</t>
  </si>
  <si>
    <t xml:space="preserve">info@templetonworldcharity.org</t>
  </si>
  <si>
    <t xml:space="preserve">https://www.templetonworldcharity.org/our-priorities/discovery/accelerating-research-consciousness</t>
  </si>
  <si>
    <t xml:space="preserve">https://www.templetonworldcharity.org</t>
  </si>
  <si>
    <t xml:space="preserve">Cytoscope+Cytoverse for consciousness; AI×neuro sweet spot</t>
  </si>
  <si>
    <t xml:space="preserve">F058</t>
  </si>
  <si>
    <t xml:space="preserve">Arc Institute — Investigator / Ignite</t>
  </si>
  <si>
    <t xml:space="preserve">Arc Institute</t>
  </si>
  <si>
    <t xml:space="preserve">Institute appointment</t>
  </si>
  <si>
    <t xml:space="preserve">No (relocate/affiliate)</t>
  </si>
  <si>
    <t xml:space="preserve">US (Bay Area)</t>
  </si>
  <si>
    <t xml:space="preserve">Invitation-only</t>
  </si>
  <si>
    <t xml:space="preserve">Recruited / partner-university only</t>
  </si>
  <si>
    <t xml:space="preserve">Internal hire / partner-univ faculty</t>
  </si>
  <si>
    <t xml:space="preserve">Backup</t>
  </si>
  <si>
    <t xml:space="preserve">Stanford/UCSF/UCB affiliation</t>
  </si>
  <si>
    <t xml:space="preserve">https://arcinstitute.org/programs</t>
  </si>
  <si>
    <t xml:space="preserve">https://arcinstitute.org/news</t>
  </si>
  <si>
    <t xml:space="preserve">Top science fit but no external grant path; pursue as RESEARCH PARTNER</t>
  </si>
  <si>
    <t xml:space="preserve">Hani Goodarzi (Arc; AD Initiative seeking external collaborators) — same-highschool; pursue as research partner</t>
  </si>
  <si>
    <t xml:space="preserve">F059</t>
  </si>
  <si>
    <t xml:space="preserve">CZ Biohub SF — Investigator Program</t>
  </si>
  <si>
    <t xml:space="preserve">Chan Zuckerberg Biohub</t>
  </si>
  <si>
    <t xml:space="preserve">No (Stanford/UCSF/UCB only)</t>
  </si>
  <si>
    <t xml:space="preserve">3rd cohort ~2026-27 (univ-nominated)</t>
  </si>
  <si>
    <t xml:space="preserve">University-nominated</t>
  </si>
  <si>
    <t xml:space="preserve">Bay Area faculty</t>
  </si>
  <si>
    <t xml:space="preserve">https://czbiohub.org/sf/investigator-program/</t>
  </si>
  <si>
    <t xml:space="preserve">https://czbiohub.org</t>
  </si>
  <si>
    <t xml:space="preserve">Affiliation-only; pursue via partner faculty</t>
  </si>
  <si>
    <t xml:space="preserve">F060</t>
  </si>
  <si>
    <t xml:space="preserve">Simons — SCGB / Neuroscience Collaborations</t>
  </si>
  <si>
    <t xml:space="preserve">Collaboration grant</t>
  </si>
  <si>
    <t xml:space="preserve">Partial (multi-PI; postdoc tracks)</t>
  </si>
  <si>
    <t xml:space="preserve">Vision-statement calls periodic</t>
  </si>
  <si>
    <t xml:space="preserve">Vision statement→invited full</t>
  </si>
  <si>
    <t xml:space="preserve">SFARI New Ideas</t>
  </si>
  <si>
    <t xml:space="preserve">https://www.simonsfoundation.org/funding-opportunities/</t>
  </si>
  <si>
    <t xml:space="preserve">Computational neuroscience fit; needs established multi-PI team</t>
  </si>
  <si>
    <t xml:space="preserve">F061</t>
  </si>
  <si>
    <t xml:space="preserve">Stanley Center for Psychiatric Research (Broad)</t>
  </si>
  <si>
    <t xml:space="preserve">Broad Institute</t>
  </si>
  <si>
    <t xml:space="preserve">Research partnership</t>
  </si>
  <si>
    <t xml:space="preserve">Partner-only</t>
  </si>
  <si>
    <t xml:space="preserve">Relationship-based</t>
  </si>
  <si>
    <t xml:space="preserve">Collaboration via Broad investigator</t>
  </si>
  <si>
    <t xml:space="preserve">Columbia SNF</t>
  </si>
  <si>
    <t xml:space="preserve">Harvard/MIT network</t>
  </si>
  <si>
    <t xml:space="preserve">https://www.broadinstitute.org/stanley-center-for-psychiatric-research</t>
  </si>
  <si>
    <t xml:space="preserve">World-class psychiatric genomics data; partner not funder</t>
  </si>
  <si>
    <t xml:space="preserve">F062</t>
  </si>
  <si>
    <t xml:space="preserve">Humanity AI (pooled fund, 10 foundations)</t>
  </si>
  <si>
    <t xml:space="preserve">Humanity AI / RPA</t>
  </si>
  <si>
    <t xml:space="preserve">Initiative grant</t>
  </si>
  <si>
    <t xml:space="preserve">Open call ~summer 2026</t>
  </si>
  <si>
    <t xml:space="preserve">Open call TBD</t>
  </si>
  <si>
    <t xml:space="preserve">Doris Duke, MacArthur, Mozilla, etc.</t>
  </si>
  <si>
    <t xml:space="preserve">https://humanityai.ai</t>
  </si>
  <si>
    <t xml:space="preserve">https://humanityai.ai/news-and-updates/</t>
  </si>
  <si>
    <t xml:space="preserve">Focus = democracy/labor/education, NOT health/science; low fit</t>
  </si>
  <si>
    <t xml:space="preserve">F063</t>
  </si>
  <si>
    <t xml:space="preserve">Lux Capital / Foresite Labs / Deep Science Ventures</t>
  </si>
  <si>
    <t xml:space="preserve">(various)</t>
  </si>
  <si>
    <t xml:space="preserve">Equity investment</t>
  </si>
  <si>
    <t xml:space="preserve">Rolling (warm intro)</t>
  </si>
  <si>
    <t xml:space="preserve">Pitch→diligence</t>
  </si>
  <si>
    <t xml:space="preserve">PBC raise (Gate 1)</t>
  </si>
  <si>
    <t xml:space="preserve">https://www.luxcapital.com/</t>
  </si>
  <si>
    <t xml:space="preserve">Mission-aligned deep-tech VC for the post-bifurcation PBC raise</t>
  </si>
  <si>
    <t xml:space="preserve">Applied — instant auto-reject (likely nonprofit / form-parameter mismatch)</t>
  </si>
  <si>
    <t xml:space="preserve">Met program lead at SF Tech Week '24 — re-approach for manual review; OR pivot to NVIDIA Academic Grant (F016, nonprofit-eligible)</t>
  </si>
  <si>
    <t xml:space="preserve">F064</t>
  </si>
  <si>
    <t xml:space="preserve">Wellcome Trust — Discovery Awards</t>
  </si>
  <si>
    <t xml:space="preserve">Yes (intl; institution)</t>
  </si>
  <si>
    <t xml:space="preserve">Annual rounds</t>
  </si>
  <si>
    <t xml:space="preserve">Multi-phase; team/institution</t>
  </si>
  <si>
    <t xml:space="preserve">Wellcome MH Award</t>
  </si>
  <si>
    <t xml:space="preserve">https://wellcome.org/research-funding/schemes/wellcome-discovery-awards</t>
  </si>
  <si>
    <t xml:space="preserve">https://wellcome.org/research-funding</t>
  </si>
  <si>
    <t xml:space="preserve">Large discovery science; needs institutional track record</t>
  </si>
  <si>
    <t xml:space="preserve">F065</t>
  </si>
  <si>
    <t xml:space="preserve">Wellcome Trust — Prize for Mental Health Science</t>
  </si>
  <si>
    <t xml:space="preserve">Prize</t>
  </si>
  <si>
    <t xml:space="preserve">2026-09-18 (needs clinical evidence)</t>
  </si>
  <si>
    <t xml:space="preserve">Submit→panel</t>
  </si>
  <si>
    <t xml:space="preserve">https://www.nature.com/immersive/wellcomeprizementalhealth/index.html</t>
  </si>
  <si>
    <t xml:space="preserve">https://wellcome.org</t>
  </si>
  <si>
    <t xml:space="preserve">Requires demonstrated outcome evidence; revisit after pilot data</t>
  </si>
  <si>
    <t xml:space="preserve">F066</t>
  </si>
  <si>
    <t xml:space="preserve">Eli Lilly — Lilly Research Award Program (LRAP)</t>
  </si>
  <si>
    <t xml:space="preserve">Eli Lilly</t>
  </si>
  <si>
    <t xml:space="preserve">Research award</t>
  </si>
  <si>
    <t xml:space="preserve">Yes (needs Lilly scientist co-sponsor)</t>
  </si>
  <si>
    <t xml:space="preserve">US/Global</t>
  </si>
  <si>
    <t xml:space="preserve">Lilly-scientist co-initiated</t>
  </si>
  <si>
    <t xml:space="preserve">Find Lilly co-PI→joint proposal→review</t>
  </si>
  <si>
    <t xml:space="preserve">Lilly LPRC; Catalyze360</t>
  </si>
  <si>
    <t xml:space="preserve">Ananth Grama → Lilly (Purdue alliance)</t>
  </si>
  <si>
    <t xml:space="preserve">https://www.lilly.com/science/partners/research-award-program</t>
  </si>
  <si>
    <t xml:space="preserve">Manual</t>
  </si>
  <si>
    <t xml:space="preserve">Neurodegen+neuroscience tracks; warmest high-fit path via Ananth</t>
  </si>
  <si>
    <t xml:space="preserve">Ananth Grama (Board co-chair) → Lilly scientist co-sponsor</t>
  </si>
  <si>
    <t xml:space="preserve">F067</t>
  </si>
  <si>
    <t xml:space="preserve">Eli Lilly–Purdue Research Alliance (LPRC) subaward</t>
  </si>
  <si>
    <t xml:space="preserve">Eli Lilly / Purdue IPAI</t>
  </si>
  <si>
    <t xml:space="preserve">Academic-industry partnership</t>
  </si>
  <si>
    <t xml:space="preserve">Path-via-partner (Purdue)</t>
  </si>
  <si>
    <t xml:space="preserve">New projects through 2026</t>
  </si>
  <si>
    <t xml:space="preserve">Via Purdue/IPAI→Lilly co-PI</t>
  </si>
  <si>
    <t xml:space="preserve">Lilly LRAP</t>
  </si>
  <si>
    <t xml:space="preserve">Ananth Grama (Board co-chair; directs IPAI; $250M Lilly–Purdue alliance)</t>
  </si>
  <si>
    <t xml:space="preserve">https://lprc.purdue.edu</t>
  </si>
  <si>
    <t xml:space="preserve">'Agentic drug discovery / AI for medicine' pillars = Cytoverse; most structurally available warm path</t>
  </si>
  <si>
    <t xml:space="preserve">Ananth Grama directs Purdue IPAI ($250M Lilly–Purdue alliance) — WARM</t>
  </si>
  <si>
    <t xml:space="preserve">F068</t>
  </si>
  <si>
    <t xml:space="preserve">Eli Lilly — Catalyze360 (Gateway Labs / TuneLab / ExploR&amp;D / Ventures)</t>
  </si>
  <si>
    <t xml:space="preserve">Incubator / venture</t>
  </si>
  <si>
    <t xml:space="preserve">hybrid</t>
  </si>
  <si>
    <t xml:space="preserve">Relationship-driven (invite)</t>
  </si>
  <si>
    <t xml:space="preserve">Reach out via connect-with-us</t>
  </si>
  <si>
    <t xml:space="preserve">Lilly LRAP/LPRC</t>
  </si>
  <si>
    <t xml:space="preserve">Ananth Grama → Catalyze360 leadership</t>
  </si>
  <si>
    <t xml:space="preserve">https://www.lilly.com/science/partners/catalyze-360</t>
  </si>
  <si>
    <t xml:space="preserve">https://gatewaylabs.lilly.com</t>
  </si>
  <si>
    <t xml:space="preserve">Lab/venture vehicles for the PBC phase; TuneLab federated AI adjacent to Cytoverse</t>
  </si>
  <si>
    <t xml:space="preserve">F069</t>
  </si>
  <si>
    <t xml:space="preserve">Eli Lilly — Lilly Grant Office (education/QI)</t>
  </si>
  <si>
    <t xml:space="preserve">Yes (nonprofit/health orgs)</t>
  </si>
  <si>
    <t xml:space="preserve">EPFA-driven; apply anytime</t>
  </si>
  <si>
    <t xml:space="preserve">Online portal→8-16wk</t>
  </si>
  <si>
    <t xml:space="preserve">https://grantoffice.lilly.com/grant-application</t>
  </si>
  <si>
    <t xml:space="preserve">https://grantoffice.lilly.com/areas-of-focus</t>
  </si>
  <si>
    <t xml:space="preserve">Neuroscience education/QI program, not R&amp;D</t>
  </si>
  <si>
    <t xml:space="preserve">F070</t>
  </si>
  <si>
    <t xml:space="preserve">Nucleate × Eli Lilly — $100K Grand Challenge</t>
  </si>
  <si>
    <t xml:space="preserve">Nucleate / Eli Lilly</t>
  </si>
  <si>
    <t xml:space="preserve">Competition / non-dilutive grant</t>
  </si>
  <si>
    <t xml:space="preserve">Global</t>
  </si>
  <si>
    <t xml:space="preserve">2026 closed 05-15; next ~Apr 2027 (ask re late entry as alumnus)</t>
  </si>
  <si>
    <t xml:space="preserve">Submit→finalists Jul→pitch Sep (Indianapolis)</t>
  </si>
  <si>
    <t xml:space="preserve">Lilly LRAP; Nucleate Activator</t>
  </si>
  <si>
    <t xml:space="preserve">PI is Nucleate alumnus (warm); Ananth → Catalyze360</t>
  </si>
  <si>
    <t xml:space="preserve">https://airtable.com/appT4HiIoA8FSzNnZ/pagx8AWPgWbg141a5/form</t>
  </si>
  <si>
    <t xml:space="preserve">https://nucleatehq.medium.com/lilly-grand-challenge-2026-9e7de57735e3</t>
  </si>
  <si>
    <t xml:space="preserve">'Cognitive &amp; Sensory Health' track = Cytoscope/Cytonome; $100K non-dilutive + Lilly access</t>
  </si>
  <si>
    <t xml:space="preserve">Missed 2026 (closed 05-15); ask re late entry</t>
  </si>
  <si>
    <t xml:space="preserve">PI is Nucleate alumnus — WARM; Ananth → Lilly</t>
  </si>
  <si>
    <t xml:space="preserve">F071</t>
  </si>
  <si>
    <t xml:space="preserve">Nucleate — Activator + alumni network</t>
  </si>
  <si>
    <t xml:space="preserve">Nucleate</t>
  </si>
  <si>
    <t xml:space="preserve">Accelerator (no equity)</t>
  </si>
  <si>
    <t xml:space="preserve">US/Intl (SF Bay)</t>
  </si>
  <si>
    <t xml:space="preserve">2027 cohort ~Oct 2026 apps</t>
  </si>
  <si>
    <t xml:space="preserve">Free; mentorship + VC/partner network</t>
  </si>
  <si>
    <t xml:space="preserve">Nucleate×Lilly</t>
  </si>
  <si>
    <t xml:space="preserve">PI is an alumnus; Bay Area branch has reached out repeatedly — WARM, unfollowed</t>
  </si>
  <si>
    <t xml:space="preserve">https://nucleate.org/activator/</t>
  </si>
  <si>
    <t xml:space="preserve">Warm alumni tie; bio-entrepreneur network; hosts the Lilly Grand Challenge</t>
  </si>
  <si>
    <t xml:space="preserve">Alumnus — WARM (Bay Area branch reached out repeatedly; unfollowed)</t>
  </si>
  <si>
    <t xml:space="preserve">Reconnect with Nucleate Bay Area</t>
  </si>
  <si>
    <t xml:space="preserve">F072</t>
  </si>
  <si>
    <t xml:space="preserve">Mayo Clinic Platform — Accelerate (digital health)</t>
  </si>
  <si>
    <t xml:space="preserve">Mayo Clinic</t>
  </si>
  <si>
    <t xml:space="preserve">Accelerator (equity)</t>
  </si>
  <si>
    <t xml:space="preserve">Cohorts ~Feb/Oct; apply rolling</t>
  </si>
  <si>
    <t xml:space="preserve">Apply→interview→30wk; Mayo takes equity</t>
  </si>
  <si>
    <t xml:space="preserve">Mayo Orchestrate</t>
  </si>
  <si>
    <t xml:space="preserve">Ananth Grama Mayo ties (verify); Lilly–Mayo collab</t>
  </si>
  <si>
    <t xml:space="preserve">https://surveys.mayoclinic.org/jfe/form/SV_8e8cPm3bhdq5XrE</t>
  </si>
  <si>
    <t xml:space="preserve">https://www.mayoclinicplatform.org/focus-areas/digital-health/accelerate/</t>
  </si>
  <si>
    <t xml:space="preserve">AI-first + 40M-record clinical data for model validation; prior MH cohort cos; PBC path</t>
  </si>
  <si>
    <t xml:space="preserve">F073</t>
  </si>
  <si>
    <t xml:space="preserve">Mayo Clinic Platform — Orchestrate (data partnership)</t>
  </si>
  <si>
    <t xml:space="preserve">Data/research partnership</t>
  </si>
  <si>
    <t xml:space="preserve">Partner</t>
  </si>
  <si>
    <t xml:space="preserve">Customized engagement</t>
  </si>
  <si>
    <t xml:space="preserve">Contact→scope→contract</t>
  </si>
  <si>
    <t xml:space="preserve">Mayo Accelerate</t>
  </si>
  <si>
    <t xml:space="preserve">https://www.mayoclinicplatform.org/contact/</t>
  </si>
  <si>
    <t xml:space="preserve">https://www.mayoclinicplatform.org/focus-areas/biopharma/orchestrate/</t>
  </si>
  <si>
    <t xml:space="preserve">Longitudinal EHR + multiomics (40M) for Cytoverse training</t>
  </si>
  <si>
    <t xml:space="preserve">Ananth Grama Mayo ties (verify)</t>
  </si>
  <si>
    <t xml:space="preserve">F074</t>
  </si>
  <si>
    <t xml:space="preserve">BRAIN Foundation — Research Grants (autism/NDD)</t>
  </si>
  <si>
    <t xml:space="preserve">BRAIN Foundation</t>
  </si>
  <si>
    <t xml:space="preserve">No-direct (needs PI host) / Partner</t>
  </si>
  <si>
    <t xml:space="preserve">US (SF Bay — Pleasanton)</t>
  </si>
  <si>
    <t xml:space="preserve">Invite-only now; open RFP ~2027</t>
  </si>
  <si>
    <t xml:space="preserve">2yr; no overhead; needs institutional PI</t>
  </si>
  <si>
    <t xml:space="preserve">Autism Society; SPARK</t>
  </si>
  <si>
    <t xml:space="preserve">Sarika Agrawal (Co-founder &amp; Board) — friend of Ananth; Pres. Pramila Srinivasan (Purdue PhD)</t>
  </si>
  <si>
    <t xml:space="preserve">https://brainfoundation.org/how-to-apply/</t>
  </si>
  <si>
    <t xml:space="preserve">Autism biomarkers/therapeutics + Community Advisory Board (PAC model); SF Bay; warm via Sarika</t>
  </si>
  <si>
    <t xml:space="preserve">Sarika Agrawal (Co-founder &amp; Board); Pres. Pramila Srinivasan (Purdue PhD)</t>
  </si>
  <si>
    <t xml:space="preserve">F075</t>
  </si>
  <si>
    <t xml:space="preserve">SPARK for Autism (SFARI) — data + recruitment</t>
  </si>
  <si>
    <t xml:space="preserve">Simons Foundation / SFARI</t>
  </si>
  <si>
    <t xml:space="preserve">Research infrastructure</t>
  </si>
  <si>
    <t xml:space="preserve">SFARI Base apps rolling</t>
  </si>
  <si>
    <t xml:space="preserve">SFARI Base app (needs institutional affiliation)</t>
  </si>
  <si>
    <t xml:space="preserve">SFARI New Ideas; BRAIN Foundation</t>
  </si>
  <si>
    <t xml:space="preserve">https://sparkforautism.org/portal/page/spark-research-match/</t>
  </si>
  <si>
    <t xml:space="preserve">https://www.sfari.org/resource/spark/</t>
  </si>
  <si>
    <t xml:space="preserve">157K+ autistic participants for Yar recruitment + Community Advisory Council = PAC model; $0 but high strategic value</t>
  </si>
  <si>
    <t xml:space="preserve">F076</t>
  </si>
  <si>
    <t xml:space="preserve">SPARK NS — translational neuroscience accelerator</t>
  </si>
  <si>
    <t xml:space="preserve">SPARK NS</t>
  </si>
  <si>
    <t xml:space="preserve">Accelerator / milestone grant</t>
  </si>
  <si>
    <t xml:space="preserve">No (academic PI; therapeutics)</t>
  </si>
  <si>
    <t xml:space="preserve">Deadline 2026-06-05</t>
  </si>
  <si>
    <t xml:space="preserve">2yr milestone-based; academic accounts</t>
  </si>
  <si>
    <t xml:space="preserve">https://sparkns.org/call-for-proposals/</t>
  </si>
  <si>
    <t xml:space="preserve">https://sparkns.org/</t>
  </si>
  <si>
    <t xml:space="preserve">Therapeutics-only + academic-PI-only; not a platform/AI fit</t>
  </si>
  <si>
    <t xml:space="preserve">F077</t>
  </si>
  <si>
    <t xml:space="preserve">Autism Society (national) + SFASA (SF Bay affiliate)</t>
  </si>
  <si>
    <t xml:space="preserve">Autism Society of America</t>
  </si>
  <si>
    <t xml:space="preserve">Advocacy / partnership</t>
  </si>
  <si>
    <t xml:space="preserve">Partner-only (no grants)</t>
  </si>
  <si>
    <t xml:space="preserve">US (SF Bay affiliate)</t>
  </si>
  <si>
    <t xml:space="preserve">Rolling (corporate partnership)</t>
  </si>
  <si>
    <t xml:space="preserve">Partnership / community channel</t>
  </si>
  <si>
    <t xml:space="preserve">Sarika Agrawal (SFASA Board) — WARM</t>
  </si>
  <si>
    <t xml:space="preserve">https://autismsociety.org/corporate-partnerships/</t>
  </si>
  <si>
    <t xml:space="preserve">https://autismsociety.org/</t>
  </si>
  <si>
    <t xml:space="preserve">No $ but high PAC/partnership + Yar recruitment via SFASA</t>
  </si>
  <si>
    <t xml:space="preserve">F078</t>
  </si>
  <si>
    <t xml:space="preserve">Mental Research Institute (MRI.org) — Research Grants</t>
  </si>
  <si>
    <t xml:space="preserve">Mental Research Institute</t>
  </si>
  <si>
    <t xml:space="preserve">Small grant</t>
  </si>
  <si>
    <t xml:space="preserve">Yes (501c3 or fiscal sponsor)</t>
  </si>
  <si>
    <t xml:space="preserve">US (SF Bay — Menlo Park)</t>
  </si>
  <si>
    <t xml:space="preserve">Reviewed monthly (2-phase)</t>
  </si>
  <si>
    <t xml:space="preserve">Phase1 (~4wk)→Phase2 (~2wk)</t>
  </si>
  <si>
    <t xml:space="preserve">Bay-Area; office next to PI's therapist</t>
  </si>
  <si>
    <t xml:space="preserve">https://mri.org/apply</t>
  </si>
  <si>
    <t xml:space="preserve">Tiny ($25K) interactional-systems focus; low-effort Bay-Area bridge; 501c3-eligible (rare)</t>
  </si>
  <si>
    <t xml:space="preserve">Bay-Area; near PI's therapist</t>
  </si>
  <si>
    <t xml:space="preserve">F079</t>
  </si>
  <si>
    <t xml:space="preserve">Center for Digital Mental Health (MGH / Mass General Brigham)</t>
  </si>
  <si>
    <t xml:space="preserve">Massachusetts General Hospital</t>
  </si>
  <si>
    <t xml:space="preserve">Academic Center</t>
  </si>
  <si>
    <t xml:space="preserve">US (Boston)</t>
  </si>
  <si>
    <t xml:space="preserve">Consultation/partnership rolling</t>
  </si>
  <si>
    <t xml:space="preserve">Request consultation / MOU</t>
  </si>
  <si>
    <t xml:space="preserve">MGH Smoller center</t>
  </si>
  <si>
    <t xml:space="preserve">Jordan Smoller (MGH) adjacency; Manolis↔Smoller; co-advised postdoc</t>
  </si>
  <si>
    <t xml:space="preserve">https://centerfordigitalmentalhealth.org/request-a-consultation/</t>
  </si>
  <si>
    <t xml:space="preserve">https://centerfordigitalmentalhealth.org/</t>
  </si>
  <si>
    <t xml:space="preserve">AI passive-sensing/wearables/EMA + responsible-AI lived-experience co-design = validator + PAC model (Dir. S. Wilhelm)</t>
  </si>
  <si>
    <t xml:space="preserve">F080</t>
  </si>
  <si>
    <t xml:space="preserve">APA App Evaluation Model / App Advisor</t>
  </si>
  <si>
    <t xml:space="preserve">American Psychiatric Association</t>
  </si>
  <si>
    <t xml:space="preserve">Endorsement / adoption pathway</t>
  </si>
  <si>
    <t xml:space="preserve">Yes (any MH tech)</t>
  </si>
  <si>
    <t xml:space="preserve">Ongoing (updated ~annually)</t>
  </si>
  <si>
    <t xml:space="preserve">Self-apply framework; seek 'reviewed' status</t>
  </si>
  <si>
    <t xml:space="preserve">APA Council; SMI Adviser</t>
  </si>
  <si>
    <t xml:space="preserve">https://www.psychiatry.org/psychiatrists/practice/mental-health-apps/the-app-evaluation-model</t>
  </si>
  <si>
    <t xml:space="preserve">https://www.psychiatry.org/psychiatrists/practice/mental-health-apps</t>
  </si>
  <si>
    <t xml:space="preserve">Clinical-adoption legitimacy for Yar/Cytonome (NYC DOH, Kaiser, VA use it)</t>
  </si>
  <si>
    <t xml:space="preserve">F081</t>
  </si>
  <si>
    <t xml:space="preserve">APA Council on Digital Health, Innovation &amp; Technology</t>
  </si>
  <si>
    <t xml:space="preserve">Advisory engagement</t>
  </si>
  <si>
    <t xml:space="preserve">Partner (members-only)</t>
  </si>
  <si>
    <t xml:space="preserve">Appointment cycle ~Aug</t>
  </si>
  <si>
    <t xml:space="preserve">Engage via partnership / app evaluation</t>
  </si>
  <si>
    <t xml:space="preserve">APA App Evaluation; DSM</t>
  </si>
  <si>
    <t xml:space="preserve">Smoller (APA-adjacent) could ID chair</t>
  </si>
  <si>
    <t xml:space="preserve">https://www.psychiatry.org/about-apa/meet-our-organization/councils/digital-health-innovation-and-technology</t>
  </si>
  <si>
    <t xml:space="preserve">Policy credibility + clinical network for digital psychiatry</t>
  </si>
  <si>
    <t xml:space="preserve">F082</t>
  </si>
  <si>
    <t xml:space="preserve">APA — Future DSM Strategic Committee (Biomarkers/Dimensions)</t>
  </si>
  <si>
    <t xml:space="preserve">Strategic influence</t>
  </si>
  <si>
    <t xml:space="preserve">Partner (evidence via journals/meeting)</t>
  </si>
  <si>
    <t xml:space="preserve">Active since 2024; no pub timeline</t>
  </si>
  <si>
    <t xml:space="preserve">Publish in AJP; present at APA; feed Biomarkers subcmte</t>
  </si>
  <si>
    <t xml:space="preserve">RDoC/HiTOP; Cytoverse</t>
  </si>
  <si>
    <t xml:space="preserve">Dost Öngür (McLean, Dimensions); Maria Oquendo (chair)</t>
  </si>
  <si>
    <t xml:space="preserve">https://psychiatryonline.org/doi/10.1176/appi.ajp.20250877</t>
  </si>
  <si>
    <t xml:space="preserve">https://www.psychiatry.org</t>
  </si>
  <si>
    <t xml:space="preserve">Long-game path to complement/modernize DSM; Biomarkers subcmte accepts external evidence</t>
  </si>
  <si>
    <t xml:space="preserve">Dost Öngür (McLean, Dimensions); publish in AJP</t>
  </si>
  <si>
    <t xml:space="preserve">F083</t>
  </si>
  <si>
    <t xml:space="preserve">APA Foundation — O'Leary Award for Innovation</t>
  </si>
  <si>
    <t xml:space="preserve">American Psychiatric Association Foundation</t>
  </si>
  <si>
    <t xml:space="preserve">Award (seed)</t>
  </si>
  <si>
    <t xml:space="preserve">Partial (psychiatrist PI)</t>
  </si>
  <si>
    <t xml:space="preserve">Annual (2025 closed; next TBD)</t>
  </si>
  <si>
    <t xml:space="preserve">Nomination→review</t>
  </si>
  <si>
    <t xml:space="preserve">APA Council</t>
  </si>
  <si>
    <t xml:space="preserve">https://www.psychiatry.org/Membership/Awards-Leadership-Opportunities/Awards/OLeary-Award-for-Innovation-in-Psychiatry</t>
  </si>
  <si>
    <t xml:space="preserve">Seed + APA brand; needs psychiatrist collaborator</t>
  </si>
  <si>
    <t xml:space="preserve">Needs psychiatrist collaborator</t>
  </si>
  <si>
    <t xml:space="preserve">F084</t>
  </si>
  <si>
    <t xml:space="preserve">American Psychological Association — APA Labs badge</t>
  </si>
  <si>
    <t xml:space="preserve">American Psychological Association</t>
  </si>
  <si>
    <t xml:space="preserve">Endorsement</t>
  </si>
  <si>
    <t xml:space="preserve">Yes (MH tools)</t>
  </si>
  <si>
    <t xml:space="preserve">Open submission (since Aug 2025)</t>
  </si>
  <si>
    <t xml:space="preserve">Submit tool for evaluation/badge</t>
  </si>
  <si>
    <t xml:space="preserve">APA (psychiatric) App Eval</t>
  </si>
  <si>
    <t xml:space="preserve">https://www.apa.org</t>
  </si>
  <si>
    <t xml:space="preserve">Parallel endorsement pathway for Yar/Cytonome</t>
  </si>
  <si>
    <t xml:space="preserve">F085</t>
  </si>
  <si>
    <t xml:space="preserve">Y Combinator</t>
  </si>
  <si>
    <t xml:space="preserve">No (equity; PBC)</t>
  </si>
  <si>
    <t xml:space="preserve">Rejected W2025 &amp; Sp2026; Su2026 draft (overdue)</t>
  </si>
  <si>
    <t xml:space="preserve">Apply→interview</t>
  </si>
  <si>
    <t xml:space="preserve">Yar-as-PBC wedge</t>
  </si>
  <si>
    <t xml:space="preserve">https://ycombinator.com/apply</t>
  </si>
  <si>
    <t xml:space="preserve">Nonprofit track narrow; reapply only with traction (Yar PBC)</t>
  </si>
  <si>
    <t xml:space="preserve">Rejected W2025 &amp; Sp2026; Su2026 draft overdue</t>
  </si>
  <si>
    <t xml:space="preserve">Reapply only with traction (Yar PBC)</t>
  </si>
  <si>
    <t xml:space="preserve">F086</t>
  </si>
  <si>
    <t xml:space="preserve">Foresight Institute — AI for Science &amp; Safety Nodes</t>
  </si>
  <si>
    <t xml:space="preserve">Foresight Institute</t>
  </si>
  <si>
    <t xml:space="preserve">Grant + node</t>
  </si>
  <si>
    <t xml:space="preserve">US (SF/Berlin node)</t>
  </si>
  <si>
    <t xml:space="preserve">Rolling; reapply with reframe</t>
  </si>
  <si>
    <t xml:space="preserve">Application form; node participation favored</t>
  </si>
  <si>
    <t xml:space="preserve">EA Funds; SFF</t>
  </si>
  <si>
    <t xml:space="preserve">https://foresight.org/grants/grants-ai-for-science-safety/</t>
  </si>
  <si>
    <t xml:space="preserve">Rejected once (framed as digital health); reframe to cognitive-liberty/BCI/AI-safety per prior plan</t>
  </si>
  <si>
    <t xml:space="preserve">Applied — rejected once</t>
  </si>
  <si>
    <t xml:space="preserve">Reframe to cognitive-liberty/BCI/AI-safety (prior plan)</t>
  </si>
  <si>
    <t xml:space="preserve">F087</t>
  </si>
  <si>
    <t xml:space="preserve">QB3 / Bakar Labs (UC Berkeley)</t>
  </si>
  <si>
    <t xml:space="preserve">QB3 / UC Berkeley</t>
  </si>
  <si>
    <t xml:space="preserve">Incubator</t>
  </si>
  <si>
    <t xml:space="preserve">US (SF Bay)</t>
  </si>
  <si>
    <t xml:space="preserve">Application; wet-lab incubator</t>
  </si>
  <si>
    <t xml:space="preserve">SF Bay</t>
  </si>
  <si>
    <t xml:space="preserve">https://bakarlabs.berkeley.edu/</t>
  </si>
  <si>
    <t xml:space="preserve">Wet-lab incubator; weak fit for an AI/data nonprofit; PBC-only</t>
  </si>
  <si>
    <t xml:space="preserve">SF Bay; PBC-only</t>
  </si>
  <si>
    <t xml:space="preserve">F088</t>
  </si>
  <si>
    <t xml:space="preserve">Mount Sinai — Roussos lab / PsychENCODE collaboration</t>
  </si>
  <si>
    <t xml:space="preserve">Icahn School of Medicine at Mount Sinai</t>
  </si>
  <si>
    <t xml:space="preserve">Research partnership / data</t>
  </si>
  <si>
    <t xml:space="preserve">Joint multiscale analysis on PsychENCODE/CMC (Synapse)</t>
  </si>
  <si>
    <t xml:space="preserve">MGH Smoller</t>
  </si>
  <si>
    <t xml:space="preserve">Panos Roussos (Dir. Center for Disease Neurogenomics; PsychENCODE/CommonMind PI) — prior SCZ/BD collaboration</t>
  </si>
  <si>
    <t xml:space="preserve">https://labs.icahn.mssm.edu/roussos-lab/</t>
  </si>
  <si>
    <t xml:space="preserve">https://icahn.mssm.edu/research/neurogenomics</t>
  </si>
  <si>
    <t xml:space="preserve">Cell-type brain omics (SCZ/BD/AD) for Cytoverse micro-meso; open Synapse data</t>
  </si>
  <si>
    <t xml:space="preserve">Panos Roussos (Mt Sinai) — prior multi-cohort SCZ/BD collaboration</t>
  </si>
  <si>
    <t xml:space="preserve">F089</t>
  </si>
  <si>
    <t xml:space="preserve">MGH — Smoller Center for Precision Psychiatry collaboration</t>
  </si>
  <si>
    <t xml:space="preserve">Warm intro via Manolis/co-advised postdoc; PGC cross-disorder + EHR</t>
  </si>
  <si>
    <t xml:space="preserve">Mt Sinai Roussos; Center for Digital MH</t>
  </si>
  <si>
    <t xml:space="preserve">Jordan Smoller (Dir.; PGC Cross-Disorder co-chair); Manolis Kellis joint grants; co-advised postdoc</t>
  </si>
  <si>
    <t xml:space="preserve">https://www.massgeneral.org/doctors/17051/jordan-smoller</t>
  </si>
  <si>
    <t xml:space="preserve">https://www.massgeneral.org/psychiatry/research/precision-psychiatry</t>
  </si>
  <si>
    <t xml:space="preserve">Cornerstone refs (14-disorder genetics; LLM depression severity); PGC data + co-authorship</t>
  </si>
  <si>
    <t xml:space="preserve">Jordan Smoller (MGH) via Manolis Kellis + co-advised postdoc — WARM-ish</t>
  </si>
  <si>
    <t xml:space="preserve">F090</t>
  </si>
  <si>
    <t xml:space="preserve">UKRI / MRC — via Manchester (Madhvi Menon, Future Leaders Fellow)</t>
  </si>
  <si>
    <t xml:space="preserve">UKRI (MRC/BBSRC/EPSRC)</t>
  </si>
  <si>
    <t xml:space="preserve">Path-via-partner (UK lead; US = collaborator)</t>
  </si>
  <si>
    <t xml:space="preserve">UK</t>
  </si>
  <si>
    <t xml:space="preserve">Leverage Y1-2 (may accelerate)</t>
  </si>
  <si>
    <t xml:space="preserve">UK PI (Manchester) leads; Cytognosis = international collaborator/project partner</t>
  </si>
  <si>
    <t xml:space="preserve">Horizon; ARIA</t>
  </si>
  <si>
    <t xml:space="preserve">Madhvi Menon (UKRI Future Leaders Fellow, Univ. Manchester) — UK anchor</t>
  </si>
  <si>
    <t xml:space="preserve">https://www.ukri.org/apply-for-funding/</t>
  </si>
  <si>
    <t xml:space="preserve">https://www.ukri.org/opportunity/</t>
  </si>
  <si>
    <t xml:space="preserve">UK funding via Manchester/Madhvi; US org can't be core-funded but can collaborate; UK entity needed for direct eligibility</t>
  </si>
  <si>
    <t xml:space="preserve">Planned Y1-2 (may accelerate)</t>
  </si>
  <si>
    <t xml:space="preserve">F091</t>
  </si>
  <si>
    <t xml:space="preserve">EU — European Partnership for Personalised Medicine (EP PerMed)</t>
  </si>
  <si>
    <t xml:space="preserve">European Commission / EP PerMed</t>
  </si>
  <si>
    <t xml:space="preserve">Partner (anchor via UK/EU)</t>
  </si>
  <si>
    <t xml:space="preserve">Annual joint transnational calls (2026 closed Apr 16; next ~2027)</t>
  </si>
  <si>
    <t xml:space="preserve">Transnational consortium; via Manchester/EU partner</t>
  </si>
  <si>
    <t xml:space="preserve">Horizon Cluster 1</t>
  </si>
  <si>
    <t xml:space="preserve">Manchester/Madhvi; EU partner institutions</t>
  </si>
  <si>
    <t xml:space="preserve">https://www.epmed.eu/</t>
  </si>
  <si>
    <t xml:space="preserve">Personalised-medicine partnership = exact fit; open-science/patient-involvement aligned; anchor via Manchester</t>
  </si>
  <si>
    <t xml:space="preserve">Manchester/Madhvi; EU consortium partner</t>
  </si>
  <si>
    <t xml:space="preserve">Funnel Summary &amp; Dashboard</t>
  </si>
  <si>
    <t xml:space="preserve">Live counts over the Master sheet (FitScore col N, Wave col X, Bucket col R, Gate col I).</t>
  </si>
  <si>
    <t xml:space="preserve">By Wave</t>
  </si>
  <si>
    <t xml:space="preserve">Category</t>
  </si>
  <si>
    <t xml:space="preserve">Count</t>
  </si>
  <si>
    <t xml:space="preserve">Wave 3 — 6–18 mo / PBC</t>
  </si>
  <si>
    <t xml:space="preserve">Backup / Parked</t>
  </si>
  <si>
    <t xml:space="preserve">TOTAL rows</t>
  </si>
  <si>
    <t xml:space="preserve">By Funding-Scale Bucket</t>
  </si>
  <si>
    <t xml:space="preserve">Small (≤$250K)</t>
  </si>
  <si>
    <t xml:space="preserve">Medium ($250K–1.5M)</t>
  </si>
  <si>
    <t xml:space="preserve">Large ($1.5–10M)</t>
  </si>
  <si>
    <t xml:space="preserve">Mega (&gt;$10M)</t>
  </si>
  <si>
    <t xml:space="preserve">Amount not yet verified</t>
  </si>
  <si>
    <t xml:space="preserve">By FitScore band</t>
  </si>
  <si>
    <t xml:space="preserve">Strong fit (≥8.0)</t>
  </si>
  <si>
    <t xml:space="preserve">Good fit (6.0–7.9)</t>
  </si>
  <si>
    <t xml:space="preserve">Monitor (4.0–5.9)</t>
  </si>
  <si>
    <t xml:space="preserve">Deprioritize (&lt;4.0)</t>
  </si>
  <si>
    <t xml:space="preserve">By L1 Gate</t>
  </si>
  <si>
    <t xml:space="preserve">EXCLUDE</t>
  </si>
  <si>
    <t xml:space="preserve">By Source Type</t>
  </si>
  <si>
    <t xml:space="preserve">Meta-Sources — Discovery &amp; Monitoring Layer</t>
  </si>
  <si>
    <t xml:space="preserve">Where opportunities are found / announced. 'Easy' API+RSS rows are the scraper backbone (Stage 2).</t>
  </si>
  <si>
    <t xml:space="preserve">Source</t>
  </si>
  <si>
    <t xml:space="preserve">Type</t>
  </si>
  <si>
    <t xml:space="preserve">Coverage</t>
  </si>
  <si>
    <t xml:space="preserve">Free/Paid</t>
  </si>
  <si>
    <t xml:space="preserve">Machine-readable feed</t>
  </si>
  <si>
    <t xml:space="preserve">Feed / API URL</t>
  </si>
  <si>
    <t xml:space="preserve">Update cadence</t>
  </si>
  <si>
    <t xml:space="preserve">Scrape feasibility</t>
  </si>
  <si>
    <t xml:space="preserve">Priority</t>
  </si>
  <si>
    <t xml:space="preserve">Notes (auth / keywords)</t>
  </si>
  <si>
    <t xml:space="preserve">S01</t>
  </si>
  <si>
    <t xml:space="preserve">Grants.gov Search2 API</t>
  </si>
  <si>
    <t xml:space="preserve">Federal portal</t>
  </si>
  <si>
    <t xml:space="preserve">All US federal grants (~26 agencies)</t>
  </si>
  <si>
    <t xml:space="preserve">Free, no auth</t>
  </si>
  <si>
    <t xml:space="preserve">REST API (JSON, POST)</t>
  </si>
  <si>
    <t xml:space="preserve">https://api.grants.gov/v1/api/search2</t>
  </si>
  <si>
    <t xml:space="preserve">Real-time</t>
  </si>
  <si>
    <t xml:space="preserve">Easy</t>
  </si>
  <si>
    <t xml:space="preserve">No key. POST {keyword}. Backbone of scraper. Also RSS GG_NewOppByCategory.xml</t>
  </si>
  <si>
    <t xml:space="preserve">S02</t>
  </si>
  <si>
    <t xml:space="preserve">SAM.gov Get Opportunities API v2</t>
  </si>
  <si>
    <t xml:space="preserve">All federal contract/OT/grant opps incl. ARPA-H, NSF X-Labs</t>
  </si>
  <si>
    <t xml:space="preserve">Free (API key)</t>
  </si>
  <si>
    <t xml:space="preserve">REST API (JSON)</t>
  </si>
  <si>
    <t xml:space="preserve">https://api.sam.gov/prod/opportunities/v2/search</t>
  </si>
  <si>
    <t xml:space="preserve">Register system acct → 1,000 req/day. Filter ptype=g + keywords</t>
  </si>
  <si>
    <t xml:space="preserve">S03</t>
  </si>
  <si>
    <t xml:space="preserve">NIH Guide for Grants &amp; Contracts</t>
  </si>
  <si>
    <t xml:space="preserve">All NIH FOAs (RFA/PAR/PA/NOT) incl. NIMH/BRAIN</t>
  </si>
  <si>
    <t xml:space="preserve">Free</t>
  </si>
  <si>
    <t xml:space="preserve">RSS + XML web services</t>
  </si>
  <si>
    <t xml:space="preserve">https://grants.nih.gov/grants/guide/newsfeed/fundingopps.xml</t>
  </si>
  <si>
    <t xml:space="preserve">Weekly (Fri)+notices</t>
  </si>
  <si>
    <t xml:space="preserve">Filter activity code + IC=NIMH + keywords</t>
  </si>
  <si>
    <t xml:space="preserve">S04</t>
  </si>
  <si>
    <t xml:space="preserve">NSF Funding Opportunities</t>
  </si>
  <si>
    <t xml:space="preserve">All NSF directorates incl. TIP / X-Labs</t>
  </si>
  <si>
    <t xml:space="preserve">RSS</t>
  </si>
  <si>
    <t xml:space="preserve">https://www.nsf.gov/rss/rss_www_funding_search.xml</t>
  </si>
  <si>
    <t xml:space="preserve">Continuous</t>
  </si>
  <si>
    <t xml:space="preserve">Keywords: AI, neuroscience, sensing, open science</t>
  </si>
  <si>
    <t xml:space="preserve">S05</t>
  </si>
  <si>
    <t xml:space="preserve">Federal Register API</t>
  </si>
  <si>
    <t xml:space="preserve">Agency notices, RFIs, program announcements</t>
  </si>
  <si>
    <t xml:space="preserve">REST API (JSON/CSV)</t>
  </si>
  <si>
    <t xml:space="preserve">https://www.federalregister.gov/api/v1/documents.json</t>
  </si>
  <si>
    <t xml:space="preserve">Daily</t>
  </si>
  <si>
    <t xml:space="preserve">type=NOTICE + term=funding opportunity</t>
  </si>
  <si>
    <t xml:space="preserve">S06</t>
  </si>
  <si>
    <t xml:space="preserve">NIH RePORTER API</t>
  </si>
  <si>
    <t xml:space="preserve">Funded NIH grants (competitive intel)</t>
  </si>
  <si>
    <t xml:space="preserve">REST API (POST)</t>
  </si>
  <si>
    <t xml:space="preserve">https://api.reporter.nih.gov/</t>
  </si>
  <si>
    <t xml:space="preserve">Who funds precision psychiatry — not open opps</t>
  </si>
  <si>
    <t xml:space="preserve">S07</t>
  </si>
  <si>
    <t xml:space="preserve">USASpending API</t>
  </si>
  <si>
    <t xml:space="preserve">Awarded federal grants/contracts</t>
  </si>
  <si>
    <t xml:space="preserve">REST API</t>
  </si>
  <si>
    <t xml:space="preserve">https://api.usaspending.gov/</t>
  </si>
  <si>
    <t xml:space="preserve">Competitive intel on NIH/NSF awards</t>
  </si>
  <si>
    <t xml:space="preserve">S08</t>
  </si>
  <si>
    <t xml:space="preserve">ARPA-H Open Funding + Vitals newsletter</t>
  </si>
  <si>
    <t xml:space="preserve">ARPA-H ISOs/programs/BAAs</t>
  </si>
  <si>
    <t xml:space="preserve">HTML + newsletter</t>
  </si>
  <si>
    <t xml:space="preserve">As announced</t>
  </si>
  <si>
    <t xml:space="preserve">Hard (use Grants/SAM API)</t>
  </si>
  <si>
    <t xml:space="preserve">Subscribe Vitals; ARPA-H also posts to Grants.gov/SAM</t>
  </si>
  <si>
    <t xml:space="preserve">S09</t>
  </si>
  <si>
    <t xml:space="preserve">EU Funding &amp; Tenders Portal (SEDIA)</t>
  </si>
  <si>
    <t xml:space="preserve">Intl portal</t>
  </si>
  <si>
    <t xml:space="preserve">Horizon Europe, EIC, ERC, MSCA</t>
  </si>
  <si>
    <t xml:space="preserve">REST API + bulk CSV</t>
  </si>
  <si>
    <t xml:space="preserve">https://ec.europa.eu/info/funding-tenders/opportunities/data/topic-list.html</t>
  </si>
  <si>
    <t xml:space="preserve">Per cycle</t>
  </si>
  <si>
    <t xml:space="preserve">US as consortium partner; keywords health/AI/mental</t>
  </si>
  <si>
    <t xml:space="preserve">S10</t>
  </si>
  <si>
    <t xml:space="preserve">UKRI Funding Finder + GtR API</t>
  </si>
  <si>
    <t xml:space="preserve">UK research councils + Innovate UK</t>
  </si>
  <si>
    <t xml:space="preserve">GtR-2 API (funded) + HTML (open)</t>
  </si>
  <si>
    <t xml:space="preserve">https://gtr.ukri.org/api/</t>
  </si>
  <si>
    <t xml:space="preserve">Low-Med</t>
  </si>
  <si>
    <t xml:space="preserve">Open calls are HTML scrape; US needs UK partner</t>
  </si>
  <si>
    <t xml:space="preserve">S11</t>
  </si>
  <si>
    <t xml:space="preserve">ARIA (UK) funding opportunities</t>
  </si>
  <si>
    <t xml:space="preserve">UK ARPA: high-risk programmes + seeds</t>
  </si>
  <si>
    <t xml:space="preserve">HTML + email + substack</t>
  </si>
  <si>
    <t xml:space="preserve">Irregular</t>
  </si>
  <si>
    <t xml:space="preserve">Hard</t>
  </si>
  <si>
    <t xml:space="preserve">Subscribe ariaresearch.substack.com; also UK Find a Grant</t>
  </si>
  <si>
    <t xml:space="preserve">S12</t>
  </si>
  <si>
    <t xml:space="preserve">Inside Philanthropy — Grant Finder</t>
  </si>
  <si>
    <t xml:space="preserve">Aggregator</t>
  </si>
  <si>
    <t xml:space="preserve">7,000+ private foundations, narrative intel</t>
  </si>
  <si>
    <t xml:space="preserve">Paid (~$500–1,000/yr)</t>
  </si>
  <si>
    <t xml:space="preserve">HTML + newsletter, no API</t>
  </si>
  <si>
    <t xml:space="preserve">https://www.insidephilanthropy.com/find-a-grant</t>
  </si>
  <si>
    <t xml:space="preserve">Ongoing</t>
  </si>
  <si>
    <t xml:space="preserve">Best for funder-priority intel; 25% off via UPF</t>
  </si>
  <si>
    <t xml:space="preserve">S13</t>
  </si>
  <si>
    <t xml:space="preserve">Instrumentl</t>
  </si>
  <si>
    <t xml:space="preserve">Federal+private+corporate, AI-matched; MH lists</t>
  </si>
  <si>
    <t xml:space="preserve">Paid ($299–899/mo)</t>
  </si>
  <si>
    <t xml:space="preserve">API at $899/mo only</t>
  </si>
  <si>
    <t xml:space="preserve">https://www.instrumentl.com/</t>
  </si>
  <si>
    <t xml:space="preserve">Hard (cost)</t>
  </si>
  <si>
    <t xml:space="preserve">Strong curated MH/psychiatry grant lists; manual tier</t>
  </si>
  <si>
    <t xml:space="preserve">S14</t>
  </si>
  <si>
    <t xml:space="preserve">Candid / Foundation Directory (Candid API)</t>
  </si>
  <si>
    <t xml:space="preserve">240,000+ US grantmakers (990-PF + direct)</t>
  </si>
  <si>
    <t xml:space="preserve">Paid (API sub)</t>
  </si>
  <si>
    <t xml:space="preserve">https://developer.candid.org/</t>
  </si>
  <si>
    <t xml:space="preserve">Most comprehensive private-funder DB; subject filters</t>
  </si>
  <si>
    <t xml:space="preserve">S15</t>
  </si>
  <si>
    <t xml:space="preserve">GrantStation</t>
  </si>
  <si>
    <t xml:space="preserve">150k+ profiles, 15k+ active grants</t>
  </si>
  <si>
    <t xml:space="preserve">Paid (~$139–699/yr)</t>
  </si>
  <si>
    <t xml:space="preserve">Web UI + email alerts, no API</t>
  </si>
  <si>
    <t xml:space="preserve">https://grantstation.com/</t>
  </si>
  <si>
    <t xml:space="preserve">Cheap via nonprofit consortia; no automation</t>
  </si>
  <si>
    <t xml:space="preserve">S16</t>
  </si>
  <si>
    <t xml:space="preserve">Pivot-RP (Clarivate)</t>
  </si>
  <si>
    <t xml:space="preserve">34,000+ opps; academic+nonprofit</t>
  </si>
  <si>
    <t xml:space="preserve">Paid (institutional)</t>
  </si>
  <si>
    <t xml:space="preserve">No public API</t>
  </si>
  <si>
    <t xml:space="preserve">https://clarivate.com/academia-government/scientific-and-academic-research/research-funding-analytics/pivot-rp-funding/</t>
  </si>
  <si>
    <t xml:space="preserve">Access via a university-library partnership</t>
  </si>
  <si>
    <t xml:space="preserve">S17</t>
  </si>
  <si>
    <t xml:space="preserve">Devpost</t>
  </si>
  <si>
    <t xml:space="preserve">Prize platform</t>
  </si>
  <si>
    <t xml:space="preserve">Corporate/foundation challenges (Google.org)</t>
  </si>
  <si>
    <t xml:space="preserve">HTML + email</t>
  </si>
  <si>
    <t xml:space="preserve">https://devpost.com/</t>
  </si>
  <si>
    <t xml:space="preserve">Filter health/AI/nonprofit; hosts Google.org challenges</t>
  </si>
  <si>
    <t xml:space="preserve">S18</t>
  </si>
  <si>
    <t xml:space="preserve">FAS — Day One Project</t>
  </si>
  <si>
    <t xml:space="preserve">Metascience resource</t>
  </si>
  <si>
    <t xml:space="preserve">Science-policy memos; signals new federal programs</t>
  </si>
  <si>
    <t xml:space="preserve">https://fas.org/day-one-project/</t>
  </si>
  <si>
    <t xml:space="preserve">Early signal (NSF Tech Labs emerged from FRO advocacy)</t>
  </si>
  <si>
    <t xml:space="preserve">S19</t>
  </si>
  <si>
    <t xml:space="preserve">Metascience / FRO</t>
  </si>
  <si>
    <t xml:space="preserve">FRO matching to $20–50M funder network</t>
  </si>
  <si>
    <t xml:space="preserve">Free to engage</t>
  </si>
  <si>
    <t xml:space="preserve">HTML + substack</t>
  </si>
  <si>
    <t xml:space="preserve">https://www.convergentresearch.org/</t>
  </si>
  <si>
    <t xml:space="preserve">Hard (relationship)</t>
  </si>
  <si>
    <t xml:space="preserve">essentialtechnology.blog; the FRO on-ramp</t>
  </si>
  <si>
    <t xml:space="preserve">S20</t>
  </si>
  <si>
    <t xml:space="preserve">Astera Institute (+ Arcadia Science)</t>
  </si>
  <si>
    <t xml:space="preserve">Metascience / funder</t>
  </si>
  <si>
    <t xml:space="preserve">Residency + open-science community news</t>
  </si>
  <si>
    <t xml:space="preserve">https://astera.org/science-opportunities/</t>
  </si>
  <si>
    <t xml:space="preserve">asterainstitute.substack.com; monitor residency cycles</t>
  </si>
  <si>
    <t xml:space="preserve">S21</t>
  </si>
  <si>
    <t xml:space="preserve">Speculative Technologies — Library + Playbook</t>
  </si>
  <si>
    <t xml:space="preserve">Coordinated-research how-to; Brains program</t>
  </si>
  <si>
    <t xml:space="preserve">HTML + mailing list</t>
  </si>
  <si>
    <t xml:space="preserve">https://spec.tech/library/research-leaders-playbook</t>
  </si>
  <si>
    <t xml:space="preserve">Low (informational)</t>
  </si>
  <si>
    <t xml:space="preserve">Reinhardt's playbook = process, not a funder list</t>
  </si>
  <si>
    <t xml:space="preserve">S22</t>
  </si>
  <si>
    <t xml:space="preserve">Metascience / intermediary</t>
  </si>
  <si>
    <t xml:space="preserve">Thesis-driven pooled funds; $533M catalyzed</t>
  </si>
  <si>
    <t xml:space="preserve">https://www.renaissancephilanthropy.org/funds</t>
  </si>
  <si>
    <t xml:space="preserve">Big-if-True Science Accelerator; Open-Source-for-Science fund</t>
  </si>
  <si>
    <t xml:space="preserve">S23</t>
  </si>
  <si>
    <t xml:space="preserve">Micro-grant rail</t>
  </si>
  <si>
    <t xml:space="preserve">LTFF / Infrastructure / GHD funds</t>
  </si>
  <si>
    <t xml:space="preserve">Free to apply</t>
  </si>
  <si>
    <t xml:space="preserve">HTML grants DB</t>
  </si>
  <si>
    <t xml:space="preserve">$5K–$500K; apply ~2mo before need</t>
  </si>
  <si>
    <t xml:space="preserve">S24</t>
  </si>
  <si>
    <t xml:space="preserve">Manifund</t>
  </si>
  <si>
    <t xml:space="preserve">Regrants / impact certs (AI safety, bio)</t>
  </si>
  <si>
    <t xml:space="preserve">HTML; open-source codebase</t>
  </si>
  <si>
    <t xml:space="preserve">https://manifund.org/</t>
  </si>
  <si>
    <t xml:space="preserve">$1K–$50K; longtermist framing</t>
  </si>
  <si>
    <t xml:space="preserve">S25</t>
  </si>
  <si>
    <t xml:space="preserve">Survival &amp; Flourishing Fund (SFF)</t>
  </si>
  <si>
    <t xml:space="preserve">S-Process $10–20M/round + Speculation Grants</t>
  </si>
  <si>
    <t xml:space="preserve">HTML + announcements</t>
  </si>
  <si>
    <t xml:space="preserve">https://survivalandflourishing.fund/</t>
  </si>
  <si>
    <t xml:space="preserve">Annual + rolling</t>
  </si>
  <si>
    <t xml:space="preserve">Next S-Process ~2026; rolling Speculation Grants</t>
  </si>
  <si>
    <t xml:space="preserve">S26</t>
  </si>
  <si>
    <t xml:space="preserve">Fast Forward (ffwd.org)</t>
  </si>
  <si>
    <t xml:space="preserve">Nonprofit resource</t>
  </si>
  <si>
    <t xml:space="preserve">Tech-nonprofit accelerator + newsletters</t>
  </si>
  <si>
    <t xml:space="preserve">Free (accel. competitive)</t>
  </si>
  <si>
    <t xml:space="preserve">Newsletter + HTML</t>
  </si>
  <si>
    <t xml:space="preserve">https://www.ffwd.org/newsletters</t>
  </si>
  <si>
    <t xml:space="preserve">Weekly</t>
  </si>
  <si>
    <t xml:space="preserve">Funding Forward + AI for Humanity newsletters</t>
  </si>
  <si>
    <t xml:space="preserve">S27</t>
  </si>
  <si>
    <t xml:space="preserve">Candid / Chronicle of Philanthropy</t>
  </si>
  <si>
    <t xml:space="preserve">Newsletter / news</t>
  </si>
  <si>
    <t xml:space="preserve">Sector news, major gifts</t>
  </si>
  <si>
    <t xml:space="preserve">Freemium/paid</t>
  </si>
  <si>
    <t xml:space="preserve">https://www.philanthropy.com/</t>
  </si>
  <si>
    <t xml:space="preserve">Daily/weekly</t>
  </si>
  <si>
    <t xml:space="preserve">Awareness of new funder priorities</t>
  </si>
  <si>
    <t xml:space="preserve">S28</t>
  </si>
  <si>
    <t xml:space="preserve">NAIRR Pilot</t>
  </si>
  <si>
    <t xml:space="preserve">Federal compute</t>
  </si>
  <si>
    <t xml:space="preserve">GPU allocations for US researchers</t>
  </si>
  <si>
    <t xml:space="preserve">Quarterly</t>
  </si>
  <si>
    <t xml:space="preserve">Compute (not cash) — key for Cytoverse training</t>
  </si>
  <si>
    <t xml:space="preserve">S29</t>
  </si>
  <si>
    <t xml:space="preserve">Monday Funding Opportunities board (internal)</t>
  </si>
  <si>
    <t xml:space="preserve">Internal system</t>
  </si>
  <si>
    <t xml:space="preserve">Cytognosis's own 71+ tracked opps</t>
  </si>
  <si>
    <t xml:space="preserve">Internal</t>
  </si>
  <si>
    <t xml:space="preserve">Monday GraphQL API</t>
  </si>
  <si>
    <t xml:space="preserve">https://cytognosis.monday.com/boards/18409744388</t>
  </si>
  <si>
    <t xml:space="preserve">Easy (write target)</t>
  </si>
  <si>
    <t xml:space="preserve">Scraper writes here; v1.2 cytognosis_funding schema</t>
  </si>
  <si>
    <t xml:space="preserve">S30</t>
  </si>
  <si>
    <t xml:space="preserve">Hugging Face / Mozilla MOSS / Lambda / Together</t>
  </si>
  <si>
    <t xml:space="preserve">Compute rails</t>
  </si>
  <si>
    <t xml:space="preserve">Open-model compute + OSS support</t>
  </si>
  <si>
    <t xml:space="preserve">Free–credits</t>
  </si>
  <si>
    <t xml:space="preserve">HTML/forms</t>
  </si>
  <si>
    <t xml:space="preserve">https://huggingface.co/</t>
  </si>
  <si>
    <t xml:space="preserve">Easy (apply)</t>
  </si>
  <si>
    <t xml:space="preserve">Gemma-class Cytonome inference + OSS support</t>
  </si>
  <si>
    <t xml:space="preserve">PAC &amp; Advocacy — Companion List</t>
  </si>
  <si>
    <t xml:space="preserve">Patient Advocacy Council / partnership targets (separate from funders). OneMind is cross-listed in Master (F019/F051).</t>
  </si>
  <si>
    <t xml:space="preserve">Organization</t>
  </si>
  <si>
    <t xml:space="preserve">Primary role for Cytognosis</t>
  </si>
  <si>
    <t xml:space="preserve">Mission focus</t>
  </si>
  <si>
    <t xml:space="preserve">Lived-experience governance</t>
  </si>
  <si>
    <t xml:space="preserve">Geography</t>
  </si>
  <si>
    <t xml:space="preserve">Engagement / contact path</t>
  </si>
  <si>
    <t xml:space="preserve">Also funder/accelerator?</t>
  </si>
  <si>
    <t xml:space="preserve">PAC fit (0-10)</t>
  </si>
  <si>
    <t xml:space="preserve">Primary URL</t>
  </si>
  <si>
    <t xml:space="preserve">Conf.</t>
  </si>
  <si>
    <t xml:space="preserve">P01</t>
  </si>
  <si>
    <t xml:space="preserve">OneMind</t>
  </si>
  <si>
    <t xml:space="preserve">Dual/tri-use: funder + accelerator + PAC model</t>
  </si>
  <si>
    <t xml:space="preserve">MH-broad / severe MH / innovation</t>
  </si>
  <si>
    <t xml:space="preserve">Strong — OMLEC council co-reviews grants; OMCAN community network</t>
  </si>
  <si>
    <t xml:space="preserve">National (Menlo Park / Napa — Bay-adjacent)</t>
  </si>
  <si>
    <t xml:space="preserve">Carmine Di Maro (ED); CSO Tahilia Rebello; engage OMLEC</t>
  </si>
  <si>
    <t xml:space="preserve">Yes — Rising Star grants + Accelerator</t>
  </si>
  <si>
    <t xml:space="preserve">9</t>
  </si>
  <si>
    <t xml:space="preserve">https://onemind.org</t>
  </si>
  <si>
    <t xml:space="preserve">P02</t>
  </si>
  <si>
    <t xml:space="preserve">DBSA (Depression and Bipolar Support Alliance)</t>
  </si>
  <si>
    <t xml:space="preserve">PAC seat candidate + model-to-emulate</t>
  </si>
  <si>
    <t xml:space="preserve">Mood disorders / peer-run</t>
  </si>
  <si>
    <t xml:space="preserve">Strong — chapters peer-run by people with lived experience</t>
  </si>
  <si>
    <t xml:space="preserve">National (Chicago HQ; Bay chapters)</t>
  </si>
  <si>
    <t xml:space="preserve">dbsalliance.org/contact; invite peer leader to PAC</t>
  </si>
  <si>
    <t xml:space="preserve">No</t>
  </si>
  <si>
    <t xml:space="preserve">8</t>
  </si>
  <si>
    <t xml:space="preserve">https://www.dbsalliance.org</t>
  </si>
  <si>
    <t xml:space="preserve">P03</t>
  </si>
  <si>
    <t xml:space="preserve">Autistic Self Advocacy Network (ASAN)</t>
  </si>
  <si>
    <t xml:space="preserve">PAC seat candidate + ND-led model</t>
  </si>
  <si>
    <t xml:space="preserve">Neurodivergence / autism / disability rights</t>
  </si>
  <si>
    <t xml:space="preserve">Strong — autistic-run; CBPR; 'Nothing About Us, Without Us'</t>
  </si>
  <si>
    <t xml:space="preserve">National (DC)</t>
  </si>
  <si>
    <t xml:space="preserve">autisticadvocacy.org/about-asan/contact; ND seat</t>
  </si>
  <si>
    <t xml:space="preserve">https://autisticadvocacy.org</t>
  </si>
  <si>
    <t xml:space="preserve">P04</t>
  </si>
  <si>
    <t xml:space="preserve">NAMI San Francisco</t>
  </si>
  <si>
    <t xml:space="preserve">PAC seat candidate + Bay-area anchor</t>
  </si>
  <si>
    <t xml:space="preserve">MH-broad / BIPOC equity / young adults</t>
  </si>
  <si>
    <t xml:space="preserve">Some — Youth Council (lived experience); Diversity cmte</t>
  </si>
  <si>
    <t xml:space="preserve">SF Bay Area</t>
  </si>
  <si>
    <t xml:space="preserve">aisha@namisf.org (Youth); anne@namisf.org (Diversity)</t>
  </si>
  <si>
    <t xml:space="preserve">7</t>
  </si>
  <si>
    <t xml:space="preserve">https://www.namisf.org</t>
  </si>
  <si>
    <t xml:space="preserve">P05</t>
  </si>
  <si>
    <t xml:space="preserve">Fountain House</t>
  </si>
  <si>
    <t xml:space="preserve">Model-to-emulate (member-led research)</t>
  </si>
  <si>
    <t xml:space="preserve">Serious mental illness / clubhouse</t>
  </si>
  <si>
    <t xml:space="preserve">Strong — RAKE dept runs participatory research WITH members</t>
  </si>
  <si>
    <t xml:space="preserve">National (NY; CA Clubhouse Intl affiliates)</t>
  </si>
  <si>
    <t xml:space="preserve">fountainhouse.org/contact; CBPR consult; member-researcher seat</t>
  </si>
  <si>
    <t xml:space="preserve">https://www.fountainhouse.org</t>
  </si>
  <si>
    <t xml:space="preserve">P06</t>
  </si>
  <si>
    <t xml:space="preserve">Hopelab</t>
  </si>
  <si>
    <t xml:space="preserve">Model-to-emulate + co-research partner</t>
  </si>
  <si>
    <t xml:space="preserve">Digital MH / youth / LGBTQ+ / equity</t>
  </si>
  <si>
    <t xml:space="preserve">Strong — youth share decision-making incl. strategy/finance</t>
  </si>
  <si>
    <t xml:space="preserve">SF Bay Area (San Francisco)</t>
  </si>
  <si>
    <t xml:space="preserve">hopelab.org/contact; youth-seat pipeline; co-research</t>
  </si>
  <si>
    <t xml:space="preserve">Investor/convener</t>
  </si>
  <si>
    <t xml:space="preserve">https://hopelab.org</t>
  </si>
  <si>
    <t xml:space="preserve">P07</t>
  </si>
  <si>
    <t xml:space="preserve">NAMI National</t>
  </si>
  <si>
    <t xml:space="preserve">Advocacy partner + recruitment channel</t>
  </si>
  <si>
    <t xml:space="preserve">MH-broad / SMI / family</t>
  </si>
  <si>
    <t xml:space="preserve">Strong — Peer Leadership Council; NAMI Next Gen youth</t>
  </si>
  <si>
    <t xml:space="preserve">National (Arlington VA)</t>
  </si>
  <si>
    <t xml:space="preserve">partnership@nami.org; MOU for recruitment</t>
  </si>
  <si>
    <t xml:space="preserve">6</t>
  </si>
  <si>
    <t xml:space="preserve">https://www.nami.org</t>
  </si>
  <si>
    <t xml:space="preserve">P08</t>
  </si>
  <si>
    <t xml:space="preserve">Mental Health America (MHA)</t>
  </si>
  <si>
    <t xml:space="preserve">Advocacy partner + model (Position Stmt 63)</t>
  </si>
  <si>
    <t xml:space="preserve">MH-broad / peer support / policy</t>
  </si>
  <si>
    <t xml:space="preserve">Strong — PWLE on board; mandates PWLE on governance</t>
  </si>
  <si>
    <t xml:space="preserve">National + 200+ affiliates (CA)</t>
  </si>
  <si>
    <t xml:space="preserve">partnerships@mhanational.org; cite Pos. Stmt 63 in PAC charter</t>
  </si>
  <si>
    <t xml:space="preserve">Occasional small grants</t>
  </si>
  <si>
    <t xml:space="preserve">https://mhanational.org</t>
  </si>
  <si>
    <t xml:space="preserve">P09</t>
  </si>
  <si>
    <t xml:space="preserve">Born This Way Foundation</t>
  </si>
  <si>
    <t xml:space="preserve">Youth advisory model + advocacy</t>
  </si>
  <si>
    <t xml:space="preserve">Youth MH / kindness / LGBTQ+</t>
  </si>
  <si>
    <t xml:space="preserve">Strong — Global Youth Advisory Board co-shapes programs</t>
  </si>
  <si>
    <t xml:space="preserve">National (Boston; LA/NYC ops)</t>
  </si>
  <si>
    <t xml:space="preserve">bornthisway.foundation/advisory-board-application</t>
  </si>
  <si>
    <t xml:space="preserve">https://bornthisway.foundation</t>
  </si>
  <si>
    <t xml:space="preserve">P10</t>
  </si>
  <si>
    <t xml:space="preserve">Patient-Led Research Collaborative (PLRC)</t>
  </si>
  <si>
    <t xml:space="preserve">Governance template for the PAC</t>
  </si>
  <si>
    <t xml:space="preserve">Patient-led research governance</t>
  </si>
  <si>
    <t xml:space="preserve">Strong — patient-led research org; binding governance model</t>
  </si>
  <si>
    <t xml:space="preserve">National / virtual</t>
  </si>
  <si>
    <t xml:space="preserve">Study their charter; adapt PAC binding-governance structure</t>
  </si>
  <si>
    <t xml:space="preserve">https://patientresearchcovid19.com</t>
  </si>
  <si>
    <t xml:space="preserve">P11</t>
  </si>
  <si>
    <t xml:space="preserve">988 / SPRC Lived Experience Committees</t>
  </si>
  <si>
    <t xml:space="preserve">Governance precedent</t>
  </si>
  <si>
    <t xml:space="preserve">Suicide prevention / crisis</t>
  </si>
  <si>
    <t xml:space="preserve">Strong — formal lived-experience advisory committees</t>
  </si>
  <si>
    <t xml:space="preserve">National (federal)</t>
  </si>
  <si>
    <t xml:space="preserve">Model binding-council language from their charters</t>
  </si>
  <si>
    <t xml:space="preserve">https://988lifeline.org/988lifeline-committees/lived-experience-committee/</t>
  </si>
  <si>
    <t xml:space="preserve">P12</t>
  </si>
  <si>
    <t xml:space="preserve">CHADD</t>
  </si>
  <si>
    <t xml:space="preserve">Advocacy partner + ND recruitment (ADHD)</t>
  </si>
  <si>
    <t xml:space="preserve">ADHD / neurodivergence</t>
  </si>
  <si>
    <t xml:space="preserve">Some — peer-led president; advisory boards</t>
  </si>
  <si>
    <t xml:space="preserve">National; chapters</t>
  </si>
  <si>
    <t xml:space="preserve">chadd.org/contact; ADHD cohort pilot for Yar</t>
  </si>
  <si>
    <t xml:space="preserve">5</t>
  </si>
  <si>
    <t xml:space="preserve">https://chadd.org</t>
  </si>
  <si>
    <t xml:space="preserve">P13</t>
  </si>
  <si>
    <t xml:space="preserve">International OCD Foundation (IOCDF)</t>
  </si>
  <si>
    <t xml:space="preserve">Advocacy partner + recruitment (OCD/anx.)</t>
  </si>
  <si>
    <t xml:space="preserve">OCD / anxiety spectrum</t>
  </si>
  <si>
    <t xml:space="preserve">Some — founded by people with OCD; mixed governance</t>
  </si>
  <si>
    <t xml:space="preserve">National (Boston)</t>
  </si>
  <si>
    <t xml:space="preserve">iocdf.org/about/contact; OCD/anxiety cohort</t>
  </si>
  <si>
    <t xml:space="preserve">4</t>
  </si>
  <si>
    <t xml:space="preserve">https://iocdf.org</t>
  </si>
  <si>
    <t xml:space="preserve">P14</t>
  </si>
  <si>
    <t xml:space="preserve">Active Minds</t>
  </si>
  <si>
    <t xml:space="preserve">Campus recruitment + youth seat</t>
  </si>
  <si>
    <t xml:space="preserve">Young-adult MH / colleges</t>
  </si>
  <si>
    <t xml:space="preserve">Some — student-led; no research governance</t>
  </si>
  <si>
    <t xml:space="preserve">National; UCSF/Stanford/Berkeley chapters</t>
  </si>
  <si>
    <t xml:space="preserve">activeminds.org/get-involved; youth PAC seat</t>
  </si>
  <si>
    <t xml:space="preserve">https://www.activeminds.org</t>
  </si>
  <si>
    <t xml:space="preserve">P15</t>
  </si>
  <si>
    <t xml:space="preserve">The Trevor Project</t>
  </si>
  <si>
    <t xml:space="preserve">LGBTQ+ research partner + recruitment</t>
  </si>
  <si>
    <t xml:space="preserve">LGBTQ+ youth MH / suicide prevention</t>
  </si>
  <si>
    <t xml:space="preserve">Some — youth-informed research (Project SPARK)</t>
  </si>
  <si>
    <t xml:space="preserve">National (West Hollywood CA)</t>
  </si>
  <si>
    <t xml:space="preserve">thetrevorproject.org/contact; data-share MOU</t>
  </si>
  <si>
    <t xml:space="preserve">https://www.thetrevorproject.org</t>
  </si>
  <si>
    <t xml:space="preserve">P16</t>
  </si>
  <si>
    <t xml:space="preserve">All of Us Research Program (NIH)</t>
  </si>
  <si>
    <t xml:space="preserve">Patient-recruitment / participation network</t>
  </si>
  <si>
    <t xml:space="preserve">Precision medicine / diversity / biobank</t>
  </si>
  <si>
    <t xml:space="preserve">Some — Community Advisory Boards at sites</t>
  </si>
  <si>
    <t xml:space="preserve">National (UCSF/Stanford sites)</t>
  </si>
  <si>
    <t xml:space="preserve">allofus.nih.gov; partner + CAB pipeline</t>
  </si>
  <si>
    <t xml:space="preserve">No (gov program)</t>
  </si>
  <si>
    <t xml:space="preserve">https://www.joinallofus.org</t>
  </si>
  <si>
    <t xml:space="preserve">P17</t>
  </si>
  <si>
    <t xml:space="preserve">Bring Change to Mind</t>
  </si>
  <si>
    <t xml:space="preserve">Local SF partner + stigma reduction</t>
  </si>
  <si>
    <t xml:space="preserve">Stigma / awareness / high schools</t>
  </si>
  <si>
    <t xml:space="preserve">Some — clinician advisory; founding lived-experience story</t>
  </si>
  <si>
    <t xml:space="preserve">SF Bay Area (SF HQ)</t>
  </si>
  <si>
    <t xml:space="preserve">bringchange2mind.org/about/contact; local advisory seat</t>
  </si>
  <si>
    <t xml:space="preserve">https://www.bringchange2mind.org</t>
  </si>
  <si>
    <t xml:space="preserve">P18</t>
  </si>
  <si>
    <t xml:space="preserve">Wellbeing Trust (Providence)</t>
  </si>
  <si>
    <t xml:space="preserve">Dual-use funder + equity partner</t>
  </si>
  <si>
    <t xml:space="preserve">MH equity / community / SDOH</t>
  </si>
  <si>
    <t xml:space="preserve">Some — philanthropic advisory (not PWLE-led)</t>
  </si>
  <si>
    <t xml:space="preserve">National; CA grantmaking</t>
  </si>
  <si>
    <t xml:space="preserve">wellbeingtrust.org/contact; equity grant + protocol</t>
  </si>
  <si>
    <t xml:space="preserve">Yes — grant funder</t>
  </si>
  <si>
    <t xml:space="preserve">https://wellbeingtrust.org</t>
  </si>
  <si>
    <t xml:space="preserve">P19</t>
  </si>
  <si>
    <t xml:space="preserve">The Kennedy Forum</t>
  </si>
  <si>
    <t xml:space="preserve">Policy ally / parity advocacy</t>
  </si>
  <si>
    <t xml:space="preserve">MH parity / insurance reform</t>
  </si>
  <si>
    <t xml:space="preserve">Some — convenes advocates; no formal council</t>
  </si>
  <si>
    <t xml:space="preserve">National (Chicago)</t>
  </si>
  <si>
    <t xml:space="preserve">contact@thekennedyforum.org; co-sign parity/open-data</t>
  </si>
  <si>
    <t xml:space="preserve">https://www.thekennedyforum.org</t>
  </si>
  <si>
    <t xml:space="preserve">P20</t>
  </si>
  <si>
    <t xml:space="preserve">Child Mind Institute</t>
  </si>
  <si>
    <t xml:space="preserve">Pediatric→adult research partner</t>
  </si>
  <si>
    <t xml:space="preserve">Youth MH / clinical research</t>
  </si>
  <si>
    <t xml:space="preserve">Some — scientific advisory board</t>
  </si>
  <si>
    <t xml:space="preserve">National (NYC)</t>
  </si>
  <si>
    <t xml:space="preserve">childmind.org; lifespan cohort partner</t>
  </si>
  <si>
    <t xml:space="preserve">https://childmind.org</t>
  </si>
  <si>
    <t xml:space="preserve">P21</t>
  </si>
  <si>
    <t xml:space="preserve">Model-to-emulate + dual-use funder (autism)</t>
  </si>
  <si>
    <t xml:space="preserve">Autism / NDD</t>
  </si>
  <si>
    <t xml:space="preserve">Strong — Community Advisory Board (autistic self-advocates)</t>
  </si>
  <si>
    <t xml:space="preserve">SF Bay (Pleasanton)</t>
  </si>
  <si>
    <t xml:space="preserve">Via Sarika Agrawal (co-founder); Synchrony Symposium</t>
  </si>
  <si>
    <t xml:space="preserve">Yes — autism research grants (F074)</t>
  </si>
  <si>
    <t xml:space="preserve">https://brainfoundation.org</t>
  </si>
  <si>
    <t xml:space="preserve">P22</t>
  </si>
  <si>
    <t xml:space="preserve">Autism Society — SF Bay (SFASA)</t>
  </si>
  <si>
    <t xml:space="preserve">PAC seat + recruitment + advocacy partner</t>
  </si>
  <si>
    <t xml:space="preserve">Some — community / lived-experience</t>
  </si>
  <si>
    <t xml:space="preserve">Via Sarika Agrawal (SFASA Board)</t>
  </si>
  <si>
    <t xml:space="preserve">https://sfautismsociety.org</t>
  </si>
  <si>
    <t xml:space="preserve">P23</t>
  </si>
  <si>
    <t xml:space="preserve">SPARK for Autism (SFARI)</t>
  </si>
  <si>
    <t xml:space="preserve">Recruitment pipeline + governance model</t>
  </si>
  <si>
    <t xml:space="preserve">Strong — Community Advisory Council; Participant Access Cmte</t>
  </si>
  <si>
    <t xml:space="preserve">National</t>
  </si>
  <si>
    <t xml:space="preserve">SFARI Base / Research Match (needs institutional affiliation)</t>
  </si>
  <si>
    <t xml:space="preserve">No (free data; F075)</t>
  </si>
  <si>
    <t xml:space="preserve">P24</t>
  </si>
  <si>
    <t xml:space="preserve">Center for Digital Mental Health (MGH)</t>
  </si>
  <si>
    <t xml:space="preserve">Co-research partner + co-design model</t>
  </si>
  <si>
    <t xml:space="preserve">MH-broad (digital phenotyping)</t>
  </si>
  <si>
    <t xml:space="preserve">Some — patient/clinician/community co-design</t>
  </si>
  <si>
    <t xml:space="preserve">Boston</t>
  </si>
  <si>
    <t xml:space="preserve">Request consultation; via Smoller adjacency (F079)</t>
  </si>
  <si>
    <t xml:space="preserve">https://centerfordigitalmentalhealth.org</t>
  </si>
  <si>
    <t xml:space="preserve">P25</t>
  </si>
  <si>
    <t xml:space="preserve">Mental Research Institute (MRI)</t>
  </si>
  <si>
    <t xml:space="preserve">Bay-Area systems-therapy partner + micro-funder</t>
  </si>
  <si>
    <t xml:space="preserve">MH (interactional / family systems)</t>
  </si>
  <si>
    <t xml:space="preserve">Some</t>
  </si>
  <si>
    <t xml:space="preserve">SF Bay (Menlo Park)</t>
  </si>
  <si>
    <t xml:space="preserve">Apply (rolling) / local relationship (F078)</t>
  </si>
  <si>
    <t xml:space="preserve">Yes — ≤$25K grants</t>
  </si>
  <si>
    <t xml:space="preserve">https://mri.org</t>
  </si>
  <si>
    <t xml:space="preserve">P26</t>
  </si>
  <si>
    <t xml:space="preserve">Sarika Agrawal (individual connector)</t>
  </si>
  <si>
    <t xml:space="preserve">Connector node → BRAIN Foundation + SFASA + autism PAC seats</t>
  </si>
  <si>
    <t xml:space="preserve">Autism / NDD (parent-advocate)</t>
  </si>
  <si>
    <t xml:space="preserve">n/a (individual)</t>
  </si>
  <si>
    <t xml:space="preserve">Send the drafted email (friend of Ananth)</t>
  </si>
  <si>
    <t xml:space="preserve">https://www.linkedin.com/in/sarika-agrawal-573a/</t>
  </si>
  <si>
    <t xml:space="preserve">The single next action per priority target, in time order. Colours match the Master 'Wave' column.</t>
  </si>
  <si>
    <t xml:space="preserve">Window</t>
  </si>
  <si>
    <t xml:space="preserve">Opportunity</t>
  </si>
  <si>
    <t xml:space="preserve">Single next action</t>
  </si>
  <si>
    <t xml:space="preserve">Owner</t>
  </si>
  <si>
    <t xml:space="preserve">Hard date / cadence</t>
  </si>
  <si>
    <t xml:space="preserve">FitScore ref</t>
  </si>
  <si>
    <t xml:space="preserve">DONE</t>
  </si>
  <si>
    <t xml:space="preserve">SAM.gov / Grants.gov registration (UEI/SAM)</t>
  </si>
  <si>
    <t xml:space="preserve">✓ COMPLETE — UEI / SAM.gov account + identifiers already in hand</t>
  </si>
  <si>
    <t xml:space="preserve">Ops</t>
  </si>
  <si>
    <t xml:space="preserve">Done</t>
  </si>
  <si>
    <t xml:space="preserve">prereq</t>
  </si>
  <si>
    <t xml:space="preserve">NOW</t>
  </si>
  <si>
    <t xml:space="preserve">Wellcome Leap HBNet</t>
  </si>
  <si>
    <t xml:space="preserve">PI</t>
  </si>
  <si>
    <t xml:space="preserve">This week</t>
  </si>
  <si>
    <t xml:space="preserve">Submit 2-3pg Cytoverse FRO abstract</t>
  </si>
  <si>
    <t xml:space="preserve">This week (rolling)</t>
  </si>
  <si>
    <t xml:space="preserve">Anthropic AI for Science / NAIRR / Cohere</t>
  </si>
  <si>
    <t xml:space="preserve">Submit credit + compute applications (rolling)</t>
  </si>
  <si>
    <t xml:space="preserve">Eng</t>
  </si>
  <si>
    <t xml:space="preserve">F007/F008/F017</t>
  </si>
  <si>
    <t xml:space="preserve">≤1 wk</t>
  </si>
  <si>
    <t xml:space="preserve">AWS Imagine Pathfinder</t>
  </si>
  <si>
    <t xml:space="preserve">Submit Round-1 application</t>
  </si>
  <si>
    <t xml:space="preserve">2026-06-05</t>
  </si>
  <si>
    <t xml:space="preserve">≤2 wk</t>
  </si>
  <si>
    <t xml:space="preserve">NIMH BRAIN U01 (RFA-MH-26-140)</t>
  </si>
  <si>
    <t xml:space="preserve">Decide go/no-go; line up clinical co-PI; draft</t>
  </si>
  <si>
    <t xml:space="preserve">2026-06-15</t>
  </si>
  <si>
    <t xml:space="preserve">≤4 wk</t>
  </si>
  <si>
    <t xml:space="preserve">ARPA-H IGoR</t>
  </si>
  <si>
    <t xml:space="preserve">Draft + submit Solution Summary</t>
  </si>
  <si>
    <t xml:space="preserve">2026-06-25</t>
  </si>
  <si>
    <t xml:space="preserve">≤6 wk</t>
  </si>
  <si>
    <t xml:space="preserve">NSF X-Labs Topic 1 (Phase 0)</t>
  </si>
  <si>
    <t xml:space="preserve">Finish 8-pg proposal w/ Hervé Marie-Nelly</t>
  </si>
  <si>
    <t xml:space="preserve">2026-07-13</t>
  </si>
  <si>
    <t xml:space="preserve">1-3 mo</t>
  </si>
  <si>
    <t xml:space="preserve">ARPA-H PHO + HSF ISOs</t>
  </si>
  <si>
    <t xml:space="preserve">Submit Solution Summaries (rolling)</t>
  </si>
  <si>
    <t xml:space="preserve">June–July</t>
  </si>
  <si>
    <t xml:space="preserve">F009/F010</t>
  </si>
  <si>
    <t xml:space="preserve">NIMH R21 + R24 + R34</t>
  </si>
  <si>
    <t xml:space="preserve">Pick one; draft for next standard date</t>
  </si>
  <si>
    <t xml:space="preserve">Jun 18 / Jun 25 / Oct</t>
  </si>
  <si>
    <t xml:space="preserve">F011/F012/F013</t>
  </si>
  <si>
    <t xml:space="preserve">Emergent Ventures</t>
  </si>
  <si>
    <t xml:space="preserve">Email 1-pg pitch (bridge funding)</t>
  </si>
  <si>
    <t xml:space="preserve">McGovern Data Practice Accelerator</t>
  </si>
  <si>
    <t xml:space="preserve">Submit EOI</t>
  </si>
  <si>
    <t xml:space="preserve">~2026-07-01</t>
  </si>
  <si>
    <t xml:space="preserve">NVIDIA Academic + Microsoft AI for Health</t>
  </si>
  <si>
    <t xml:space="preserve">Submit applications</t>
  </si>
  <si>
    <t xml:space="preserve">F016/F018</t>
  </si>
  <si>
    <t xml:space="preserve">fall</t>
  </si>
  <si>
    <t xml:space="preserve">Fast Forward 2027 cohort</t>
  </si>
  <si>
    <t xml:space="preserve">Submit accelerator application</t>
  </si>
  <si>
    <t xml:space="preserve">2026-07-30 → 09-08</t>
  </si>
  <si>
    <t xml:space="preserve">CZI EOSS Cycle 6</t>
  </si>
  <si>
    <t xml:space="preserve">Submit LOI</t>
  </si>
  <si>
    <t xml:space="preserve">2026-10-18</t>
  </si>
  <si>
    <t xml:space="preserve">Spec.tech Brains 2027 / Activate / Astera</t>
  </si>
  <si>
    <t xml:space="preserve">Prepare applications as windows open</t>
  </si>
  <si>
    <t xml:space="preserve">~Oct 2026</t>
  </si>
  <si>
    <t xml:space="preserve">F030/F032/F031</t>
  </si>
  <si>
    <t xml:space="preserve">ongoing</t>
  </si>
  <si>
    <t xml:space="preserve">OneMind RSA (2027) + OMLEC</t>
  </si>
  <si>
    <t xml:space="preserve">Build OMLEC relationship; line up academic-host PI</t>
  </si>
  <si>
    <t xml:space="preserve">Feb–Apr 2027 cycle</t>
  </si>
  <si>
    <t xml:space="preserve">McKnight Tech / Tiny Blue Dot / AFSP / BBRF</t>
  </si>
  <si>
    <t xml:space="preserve">Calendar LOIs; prep narratives</t>
  </si>
  <si>
    <t xml:space="preserve">Aug–Nov</t>
  </si>
  <si>
    <t xml:space="preserve">F025/F026/F034/F033</t>
  </si>
  <si>
    <t xml:space="preserve">Coefficient Giving</t>
  </si>
  <si>
    <t xml:space="preserve">Send 1-2pg brief to science@coefficientgiving.org</t>
  </si>
  <si>
    <t xml:space="preserve">6-18 mo</t>
  </si>
  <si>
    <t xml:space="preserve">Convergent FRO full process</t>
  </si>
  <si>
    <t xml:space="preserve">Iterate after abstract; funder syndication</t>
  </si>
  <si>
    <t xml:space="preserve">Wellcome Leap programs / Wellcome MH Award</t>
  </si>
  <si>
    <t xml:space="preserve">Join via HBNet; verify MH Award status</t>
  </si>
  <si>
    <t xml:space="preserve">Per call</t>
  </si>
  <si>
    <t xml:space="preserve">F047/F048</t>
  </si>
  <si>
    <t xml:space="preserve">6-18 mo / PBC</t>
  </si>
  <si>
    <t xml:space="preserve">SBIR/STTR + OneMind Accelerator + Techstars</t>
  </si>
  <si>
    <t xml:space="preserve">Activate after PBC subsidiary forms</t>
  </si>
  <si>
    <t xml:space="preserve">Founder</t>
  </si>
  <si>
    <t xml:space="preserve">Post-bifurcation</t>
  </si>
  <si>
    <t xml:space="preserve">F049/F050/F051/F052</t>
  </si>
  <si>
    <t xml:space="preserve">EU Horizon Cluster 1 (2027)</t>
  </si>
  <si>
    <t xml:space="preserve">Join EU consortium as 3rd-country partner</t>
  </si>
  <si>
    <t xml:space="preserve">2027-02 calls</t>
  </si>
  <si>
    <t xml:space="preserve">Network &amp; Warm-Intro Map</t>
  </si>
  <si>
    <t xml:space="preserve">People -&gt; what they unlock -&gt; warmth -&gt; next action. F-IDs reference the Master sheet. Sensitive ties flagged.</t>
  </si>
  <si>
    <t xml:space="preserve">Person</t>
  </si>
  <si>
    <t xml:space="preserve">Role / Affiliation</t>
  </si>
  <si>
    <t xml:space="preserve">Relationship to Cytognosis</t>
  </si>
  <si>
    <t xml:space="preserve">Orgs / Opportunities it unlocks</t>
  </si>
  <si>
    <t xml:space="preserve">Warmth</t>
  </si>
  <si>
    <t xml:space="preserve">Suggested next action</t>
  </si>
  <si>
    <t xml:space="preserve">Ananth Grama</t>
  </si>
  <si>
    <t xml:space="preserve">Director, Purdue Institute for Physical AI (IPAI); Prof. CS</t>
  </si>
  <si>
    <t xml:space="preserve">Cytognosis Board co-chair; PhD advisor; active subaward channel</t>
  </si>
  <si>
    <t xml:space="preserve">Eli Lilly LRAP/LPRC/Catalyze360/Ventures; Mayo; Purdue subaward (F066-F068, F072-F073)</t>
  </si>
  <si>
    <t xml:space="preserve">Warm</t>
  </si>
  <si>
    <t xml:space="preserve">Ask him to broker a Lilly scientist co-sponsor (LRAP) + a Mayo Platform intro</t>
  </si>
  <si>
    <t xml:space="preserve">Manolis Kellis</t>
  </si>
  <si>
    <t xml:space="preserve">Prof., MIT CSAIL / Broad Institute</t>
  </si>
  <si>
    <t xml:space="preserve">PI's postdoc advisor; PI = unpaid associated scientist — sensitive dynamics</t>
  </si>
  <si>
    <t xml:space="preserve">Jordan Smoller (joint grants); MIT/Broad networks; cross-disorder science</t>
  </si>
  <si>
    <t xml:space="preserve">Warm (handle sensitively)</t>
  </si>
  <si>
    <t xml:space="preserve">Navigate the dynamic before invoking; leverage via the co-advised postdoc</t>
  </si>
  <si>
    <t xml:space="preserve">Jordan Smoller</t>
  </si>
  <si>
    <t xml:space="preserve">Dir., MGH Center for Precision Psychiatry; co-chair PGC Cross-Disorder Workgroup</t>
  </si>
  <si>
    <t xml:space="preserve">Network via Manolis + a co-advised postdoc shadowing bipolar meetings; cornerstone author</t>
  </si>
  <si>
    <t xml:space="preserve">MGH precision psychiatry; PGC cross-disorder data; Center for Digital MH adjacency; DSM Biomarkers (F079, F082, F089)</t>
  </si>
  <si>
    <t xml:space="preserve">Warm intro via Manolis/postdoc; explore PGC data + co-authorship</t>
  </si>
  <si>
    <t xml:space="preserve">Panos Roussos</t>
  </si>
  <si>
    <t xml:space="preserve">Dir., Center for Disease Neurogenomics, Mt Sinai; PsychENCODE/CommonMind PI</t>
  </si>
  <si>
    <t xml:space="preserve">Prior collaborator on multi-cohort SCZ/BD studies</t>
  </si>
  <si>
    <t xml:space="preserve">PsychENCODE/CMC open data (Synapse); Mt Sinai engagement; BD² (F088)</t>
  </si>
  <si>
    <t xml:space="preserve">Medium-Warm</t>
  </si>
  <si>
    <t xml:space="preserve">Reconnect re: joint multiscale analysis on the PsychENCODE atlases</t>
  </si>
  <si>
    <t xml:space="preserve">Milad Alucozai</t>
  </si>
  <si>
    <t xml:space="preserve">Wyss (Harvard) mentor; GP, Pamir Ventures; ARPA-H Expert-in-Residence</t>
  </si>
  <si>
    <t xml:space="preserve">Friend of Ananth; prior outreach email drafted</t>
  </si>
  <si>
    <t xml:space="preserve">ARPA-H navigation; Wyss network; advisory/VC (note: Pamir is B2B-AI, not neuro)</t>
  </si>
  <si>
    <t xml:space="preserve">Follow up the prior email; tap ARPA-H/Wyss network + advisory</t>
  </si>
  <si>
    <t xml:space="preserve">Hani Goodarzi</t>
  </si>
  <si>
    <t xml:space="preserve">Core Investigator, Arc Institute (Virtual Cell); Assoc. Prof., UCSF</t>
  </si>
  <si>
    <t xml:space="preserve">Same high-school (Iran) tie</t>
  </si>
  <si>
    <t xml:space="preserve">Arc Virtual Cell alignment; Arc Alzheimer's Disease Initiative (seeking external collaborators) (F042, F058)</t>
  </si>
  <si>
    <t xml:space="preserve">Reconnect; propose Cytoverse × Arc virtual-cell / AD collaboration</t>
  </si>
  <si>
    <t xml:space="preserve">Angela Oliveira Pisco</t>
  </si>
  <si>
    <t xml:space="preserve">Director of Data Science, Chan Zuckerberg Initiative (CZI); ex-insitro</t>
  </si>
  <si>
    <t xml:space="preserve">Former manager at insitro — warm</t>
  </si>
  <si>
    <t xml:space="preserve">CZI Science grants; CZI AI/GPU + EOSS; CELLxGENE / cell-atlas co-development (F023, F024)</t>
  </si>
  <si>
    <t xml:space="preserve">Reconnect re: CZI compute/EOSS + the cell-atlas layer of Cytoverse</t>
  </si>
  <si>
    <t xml:space="preserve">Sarika Agrawal</t>
  </si>
  <si>
    <t xml:space="preserve">Co-founder &amp; Board, BRAIN Foundation; Board, Autism Society SF Bay (SFASA)</t>
  </si>
  <si>
    <t xml:space="preserve">Friend of Ananth; has an autistic child; prior email drafted</t>
  </si>
  <si>
    <t xml:space="preserve">BRAIN Foundation grant; autism advocacy; PAC seats (autism/ND) (F074, F077)</t>
  </si>
  <si>
    <t xml:space="preserve">Send the drafted email; explore BRAIN Foundation + SFASA + PAC seats</t>
  </si>
  <si>
    <t xml:space="preserve">High (affiliations verified)</t>
  </si>
  <si>
    <t xml:space="preserve">Hervé Marie-Nelly</t>
  </si>
  <si>
    <t xml:space="preserve">Founder, stealth co. (ex-insitro colleague)</t>
  </si>
  <si>
    <t xml:space="preserve">NSF X-Labs co-submitter</t>
  </si>
  <si>
    <t xml:space="preserve">NSF X-Labs Phase 0 (F004)</t>
  </si>
  <si>
    <t xml:space="preserve">Finalize the joint X-Labs proposal (Jul 13)</t>
  </si>
  <si>
    <t xml:space="preserve">Pramila Srinivasan</t>
  </si>
  <si>
    <t xml:space="preserve">President, BRAIN Foundation (Purdue PhD)</t>
  </si>
  <si>
    <t xml:space="preserve">Verified Purdue tie at the BRAIN Foundation</t>
  </si>
  <si>
    <t xml:space="preserve">BRAIN Foundation (F074)</t>
  </si>
  <si>
    <t xml:space="preserve">Purdue/Ananth-adjacent intro to BRAIN Foundation leadership</t>
  </si>
  <si>
    <t xml:space="preserve">Madhvi Menon</t>
  </si>
  <si>
    <t xml:space="preserve">UK autoimmune lead, Cytognosis; UKRI Future Leaders Fellow, Univ. of Manchester</t>
  </si>
  <si>
    <t xml:space="preserve">Team member — the UK anchor</t>
  </si>
  <si>
    <t xml:space="preserve">UKRI/MRC (UK-funded PI route); Horizon Cluster 1 + EP PerMed (UK is Horizon-associated → funded coordinator); possible HBNet route; UK office (F053, F090, F091)</t>
  </si>
  <si>
    <t xml:space="preserve">Map UKRI calls to her FLF; position Manchester as the EU/UK consortium anchor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</si>
</sst>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5145A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E0309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5145A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3415C"/>
        <bgColor rgb="FF555555"/>
      </patternFill>
    </fill>
    <fill>
      <patternFill patternType="solid">
        <fgColor rgb="FFFFD6E0"/>
        <bgColor rgb="FFFFE9CC"/>
      </patternFill>
    </fill>
    <fill>
      <patternFill patternType="solid">
        <fgColor rgb="FFFFE9CC"/>
        <bgColor rgb="FFFFF2CC"/>
      </patternFill>
    </fill>
    <fill>
      <patternFill patternType="solid">
        <fgColor rgb="FFE2ECFB"/>
        <bgColor rgb="FFEDEFF2"/>
      </patternFill>
    </fill>
    <fill>
      <patternFill patternType="solid">
        <fgColor rgb="FFE8E3F5"/>
        <bgColor rgb="FFE2ECFB"/>
      </patternFill>
    </fill>
    <fill>
      <patternFill patternType="solid">
        <fgColor rgb="FFEDEFF2"/>
        <bgColor rgb="FFE2ECFB"/>
      </patternFill>
    </fill>
    <fill>
      <patternFill patternType="solid">
        <fgColor rgb="FFD6F5DD"/>
        <bgColor rgb="FFE2ECFB"/>
      </patternFill>
    </fill>
    <fill>
      <patternFill patternType="solid">
        <fgColor rgb="FFFFF2CC"/>
        <bgColor rgb="FFFFE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3F5"/>
      <rgbColor rgb="FF808080"/>
      <rgbColor rgb="FF9999FF"/>
      <rgbColor rgb="FFE0309E"/>
      <rgbColor rgb="FFFFF2CC"/>
      <rgbColor rgb="FFE2ECFB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2"/>
      <rgbColor rgb="FFD6F5DD"/>
      <rgbColor rgb="FFFFE9CC"/>
      <rgbColor rgb="FF99CCFF"/>
      <rgbColor rgb="FFFF99CC"/>
      <rgbColor rgb="FFCC99FF"/>
      <rgbColor rgb="FFFFD6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5145A8"/>
      <rgbColor rgb="FF3341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23.8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23.8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5" t="s">
        <v>13</v>
      </c>
    </row>
    <row r="13" customFormat="false" ht="15" hidden="false" customHeight="false" outlineLevel="0" collapsed="false">
      <c r="A13" s="3" t="s">
        <v>14</v>
      </c>
      <c r="B13" s="4" t="s">
        <v>15</v>
      </c>
    </row>
    <row r="14" customFormat="false" ht="23.85" hidden="false" customHeight="false" outlineLevel="0" collapsed="false">
      <c r="A14" s="3" t="s">
        <v>16</v>
      </c>
      <c r="B14" s="4" t="s">
        <v>17</v>
      </c>
    </row>
    <row r="15" customFormat="false" ht="15" hidden="false" customHeight="false" outlineLevel="0" collapsed="false">
      <c r="A15" s="3" t="s">
        <v>18</v>
      </c>
      <c r="B15" s="4" t="s">
        <v>19</v>
      </c>
    </row>
    <row r="16" customFormat="false" ht="15" hidden="false" customHeight="false" outlineLevel="0" collapsed="false">
      <c r="A16" s="3" t="s">
        <v>20</v>
      </c>
      <c r="B16" s="4" t="s">
        <v>21</v>
      </c>
    </row>
    <row r="17" customFormat="false" ht="15" hidden="false" customHeight="false" outlineLevel="0" collapsed="false">
      <c r="A17" s="3" t="s">
        <v>22</v>
      </c>
      <c r="B17" s="4" t="s">
        <v>23</v>
      </c>
    </row>
    <row r="18" customFormat="false" ht="23.8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/>
      <c r="B19" s="4"/>
    </row>
    <row r="20" customFormat="false" ht="15" hidden="false" customHeight="false" outlineLevel="0" collapsed="false">
      <c r="A20" s="5" t="s">
        <v>26</v>
      </c>
    </row>
    <row r="21" customFormat="false" ht="15" hidden="false" customHeight="false" outlineLevel="0" collapsed="false">
      <c r="A21" s="3" t="s">
        <v>27</v>
      </c>
      <c r="B21" s="4" t="s">
        <v>28</v>
      </c>
    </row>
    <row r="22" customFormat="false" ht="23.85" hidden="false" customHeight="false" outlineLevel="0" collapsed="false">
      <c r="A22" s="3" t="s">
        <v>29</v>
      </c>
      <c r="B22" s="4" t="s">
        <v>30</v>
      </c>
    </row>
    <row r="23" customFormat="false" ht="15" hidden="false" customHeight="false" outlineLevel="0" collapsed="false">
      <c r="A23" s="3" t="s">
        <v>31</v>
      </c>
      <c r="B23" s="4" t="s">
        <v>32</v>
      </c>
    </row>
    <row r="24" customFormat="false" ht="23.85" hidden="false" customHeight="false" outlineLevel="0" collapsed="false">
      <c r="A24" s="3" t="s">
        <v>33</v>
      </c>
      <c r="B24" s="4" t="s">
        <v>34</v>
      </c>
    </row>
    <row r="25" customFormat="false" ht="15" hidden="false" customHeight="false" outlineLevel="0" collapsed="false">
      <c r="A25" s="3" t="s">
        <v>35</v>
      </c>
      <c r="B25" s="4" t="s">
        <v>36</v>
      </c>
    </row>
    <row r="26" customFormat="false" ht="15" hidden="false" customHeight="false" outlineLevel="0" collapsed="false">
      <c r="A26" s="3"/>
      <c r="B26" s="4"/>
    </row>
    <row r="27" customFormat="false" ht="15" hidden="false" customHeight="false" outlineLevel="0" collapsed="false">
      <c r="A27" s="5" t="s">
        <v>37</v>
      </c>
    </row>
    <row r="28" customFormat="false" ht="15" hidden="false" customHeight="false" outlineLevel="0" collapsed="false">
      <c r="A28" s="3" t="s">
        <v>38</v>
      </c>
      <c r="B28" s="4" t="s">
        <v>39</v>
      </c>
    </row>
    <row r="29" customFormat="false" ht="15" hidden="false" customHeight="false" outlineLevel="0" collapsed="false">
      <c r="A29" s="3" t="s">
        <v>40</v>
      </c>
      <c r="B29" s="4" t="s">
        <v>41</v>
      </c>
    </row>
    <row r="30" customFormat="false" ht="15" hidden="false" customHeight="false" outlineLevel="0" collapsed="false">
      <c r="A30" s="3" t="s">
        <v>42</v>
      </c>
      <c r="B30" s="4" t="s">
        <v>43</v>
      </c>
    </row>
    <row r="31" customFormat="false" ht="15" hidden="false" customHeight="false" outlineLevel="0" collapsed="false">
      <c r="A31" s="3" t="s">
        <v>44</v>
      </c>
      <c r="B31" s="4" t="s">
        <v>45</v>
      </c>
    </row>
    <row r="32" customFormat="false" ht="15" hidden="false" customHeight="false" outlineLevel="0" collapsed="false">
      <c r="A32" s="3" t="s">
        <v>46</v>
      </c>
      <c r="B32" s="4" t="s">
        <v>47</v>
      </c>
    </row>
    <row r="33" customFormat="false" ht="15" hidden="false" customHeight="false" outlineLevel="0" collapsed="false">
      <c r="A33" s="3"/>
      <c r="B33" s="4"/>
    </row>
    <row r="34" customFormat="false" ht="15" hidden="false" customHeight="false" outlineLevel="0" collapsed="false">
      <c r="A34" s="5" t="s">
        <v>48</v>
      </c>
    </row>
    <row r="35" customFormat="false" ht="15" hidden="false" customHeight="false" outlineLevel="0" collapsed="false">
      <c r="A35" s="3" t="s">
        <v>49</v>
      </c>
      <c r="B35" s="4" t="s">
        <v>50</v>
      </c>
    </row>
    <row r="36" customFormat="false" ht="15" hidden="false" customHeight="false" outlineLevel="0" collapsed="false">
      <c r="A36" s="3" t="s">
        <v>51</v>
      </c>
      <c r="B36" s="4" t="s">
        <v>52</v>
      </c>
    </row>
    <row r="37" customFormat="false" ht="15" hidden="false" customHeight="false" outlineLevel="0" collapsed="false">
      <c r="A37" s="3" t="s">
        <v>53</v>
      </c>
      <c r="B37" s="4" t="s">
        <v>54</v>
      </c>
    </row>
    <row r="38" customFormat="false" ht="15" hidden="false" customHeight="false" outlineLevel="0" collapsed="false">
      <c r="A38" s="3" t="s">
        <v>55</v>
      </c>
      <c r="B38" s="4" t="s">
        <v>56</v>
      </c>
    </row>
    <row r="39" customFormat="false" ht="15" hidden="false" customHeight="false" outlineLevel="0" collapsed="false">
      <c r="A39" s="3"/>
      <c r="B39" s="4"/>
    </row>
    <row r="40" customFormat="false" ht="15" hidden="false" customHeight="false" outlineLevel="0" collapsed="false">
      <c r="A40" s="5" t="s">
        <v>57</v>
      </c>
    </row>
    <row r="41" customFormat="false" ht="15" hidden="false" customHeight="false" outlineLevel="0" collapsed="false">
      <c r="A41" s="3" t="s">
        <v>58</v>
      </c>
      <c r="B41" s="4" t="s">
        <v>59</v>
      </c>
    </row>
    <row r="42" customFormat="false" ht="15" hidden="false" customHeight="false" outlineLevel="0" collapsed="false">
      <c r="A42" s="3" t="s">
        <v>60</v>
      </c>
      <c r="B42" s="4" t="s">
        <v>61</v>
      </c>
    </row>
    <row r="43" customFormat="false" ht="15" hidden="false" customHeight="false" outlineLevel="0" collapsed="false">
      <c r="A43" s="3" t="s">
        <v>62</v>
      </c>
      <c r="B43" s="4" t="s">
        <v>63</v>
      </c>
    </row>
    <row r="44" customFormat="false" ht="15" hidden="false" customHeight="false" outlineLevel="0" collapsed="false">
      <c r="A44" s="3"/>
      <c r="B44" s="4"/>
    </row>
    <row r="45" customFormat="false" ht="15" hidden="false" customHeight="false" outlineLevel="0" collapsed="false">
      <c r="A45" s="3" t="s">
        <v>64</v>
      </c>
      <c r="B45" s="4" t="s">
        <v>65</v>
      </c>
    </row>
    <row r="46" customFormat="false" ht="15" hidden="false" customHeight="false" outlineLevel="0" collapsed="false">
      <c r="A46" s="3" t="s">
        <v>66</v>
      </c>
      <c r="B46" s="4" t="s">
        <v>67</v>
      </c>
    </row>
    <row r="47" customFormat="false" ht="23.85" hidden="false" customHeight="false" outlineLevel="0" collapsed="false">
      <c r="A47" s="3" t="s">
        <v>68</v>
      </c>
      <c r="B47" s="4" t="s">
        <v>69</v>
      </c>
    </row>
    <row r="48" customFormat="false" ht="15" hidden="false" customHeight="false" outlineLevel="0" collapsed="false">
      <c r="A48" s="3"/>
      <c r="B48" s="4"/>
    </row>
    <row r="49" customFormat="false" ht="15" hidden="false" customHeight="false" outlineLevel="0" collapsed="false">
      <c r="A49" s="5" t="s">
        <v>70</v>
      </c>
    </row>
    <row r="50" customFormat="false" ht="57.45" hidden="false" customHeight="false" outlineLevel="0" collapsed="false">
      <c r="A50" s="3" t="s">
        <v>71</v>
      </c>
      <c r="B50" s="4" t="s">
        <v>72</v>
      </c>
    </row>
    <row r="51" customFormat="false" ht="68.65" hidden="false" customHeight="false" outlineLevel="0" collapsed="false">
      <c r="A51" s="3" t="s">
        <v>73</v>
      </c>
      <c r="B51" s="4" t="s">
        <v>74</v>
      </c>
    </row>
    <row r="52" customFormat="false" ht="15" hidden="false" customHeight="false" outlineLevel="0" collapsed="false">
      <c r="A52" s="3" t="s">
        <v>75</v>
      </c>
      <c r="B52" s="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5"/>
    <col collapsed="false" customWidth="true" hidden="false" outlineLevel="0" max="12" min="11" style="0" width="7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6" min="15" style="0" width="13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22"/>
    <col collapsed="false" customWidth="true" hidden="false" outlineLevel="0" max="21" min="21" style="0" width="12"/>
    <col collapsed="false" customWidth="true" hidden="false" outlineLevel="0" max="22" min="22" style="0" width="30"/>
    <col collapsed="false" customWidth="true" hidden="false" outlineLevel="0" max="23" min="23" style="0" width="15"/>
    <col collapsed="false" customWidth="true" hidden="false" outlineLevel="0" max="24" min="24" style="0" width="8"/>
    <col collapsed="false" customWidth="true" hidden="false" outlineLevel="0" max="25" min="25" style="0" width="22"/>
    <col collapsed="false" customWidth="true" hidden="false" outlineLevel="0" max="26" min="26" style="0" width="24"/>
    <col collapsed="false" customWidth="true" hidden="false" outlineLevel="0" max="27" min="27" style="0" width="34"/>
    <col collapsed="false" customWidth="true" hidden="false" outlineLevel="0" max="28" min="28" style="0" width="40"/>
    <col collapsed="false" customWidth="true" hidden="false" outlineLevel="0" max="29" min="29" style="0" width="14"/>
    <col collapsed="false" customWidth="true" hidden="false" outlineLevel="0" max="30" min="30" style="0" width="40"/>
    <col collapsed="false" customWidth="true" hidden="false" outlineLevel="0" max="31" min="31" style="0" width="9"/>
    <col collapsed="false" customWidth="true" hidden="false" outlineLevel="0" max="32" min="32" style="0" width="10"/>
    <col collapsed="false" customWidth="true" hidden="false" outlineLevel="0" max="33" min="33" style="0" width="18"/>
    <col collapsed="false" customWidth="true" hidden="false" outlineLevel="0" max="34" min="34" style="0" width="40"/>
  </cols>
  <sheetData>
    <row r="1" customFormat="false" ht="18.5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3.85" hidden="false" customHeight="false" outlineLevel="0" collapsed="false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  <c r="F4" s="6" t="s">
        <v>84</v>
      </c>
      <c r="G4" s="6" t="s">
        <v>85</v>
      </c>
      <c r="H4" s="6" t="s">
        <v>86</v>
      </c>
      <c r="I4" s="6" t="s">
        <v>87</v>
      </c>
      <c r="J4" s="6" t="s">
        <v>88</v>
      </c>
      <c r="K4" s="6" t="s">
        <v>89</v>
      </c>
      <c r="L4" s="6" t="s">
        <v>90</v>
      </c>
      <c r="M4" s="6" t="s">
        <v>91</v>
      </c>
      <c r="N4" s="6" t="s">
        <v>92</v>
      </c>
      <c r="O4" s="6" t="s">
        <v>93</v>
      </c>
      <c r="P4" s="6" t="s">
        <v>94</v>
      </c>
      <c r="Q4" s="6" t="s">
        <v>95</v>
      </c>
      <c r="R4" s="6" t="s">
        <v>96</v>
      </c>
      <c r="S4" s="6" t="s">
        <v>97</v>
      </c>
      <c r="T4" s="6" t="s">
        <v>98</v>
      </c>
      <c r="U4" s="6" t="s">
        <v>99</v>
      </c>
      <c r="V4" s="6" t="s">
        <v>100</v>
      </c>
      <c r="W4" s="6" t="s">
        <v>101</v>
      </c>
      <c r="X4" s="6" t="s">
        <v>102</v>
      </c>
      <c r="Y4" s="6" t="s">
        <v>103</v>
      </c>
      <c r="Z4" s="6" t="s">
        <v>104</v>
      </c>
      <c r="AA4" s="6" t="s">
        <v>105</v>
      </c>
      <c r="AB4" s="6" t="s">
        <v>106</v>
      </c>
      <c r="AC4" s="6" t="s">
        <v>107</v>
      </c>
      <c r="AD4" s="6" t="s">
        <v>108</v>
      </c>
      <c r="AE4" s="6" t="s">
        <v>109</v>
      </c>
      <c r="AF4" s="6" t="s">
        <v>110</v>
      </c>
      <c r="AG4" s="6" t="s">
        <v>111</v>
      </c>
      <c r="AH4" s="6" t="s">
        <v>112</v>
      </c>
    </row>
    <row r="5" customFormat="false" ht="23.85" hidden="false" customHeight="false" outlineLevel="0" collapsed="false">
      <c r="A5" s="7" t="s">
        <v>113</v>
      </c>
      <c r="B5" s="7" t="s">
        <v>114</v>
      </c>
      <c r="C5" s="7" t="s">
        <v>115</v>
      </c>
      <c r="D5" s="7" t="s">
        <v>116</v>
      </c>
      <c r="E5" s="7" t="s">
        <v>117</v>
      </c>
      <c r="F5" s="7" t="s">
        <v>118</v>
      </c>
      <c r="G5" s="7" t="s">
        <v>119</v>
      </c>
      <c r="H5" s="7" t="s">
        <v>120</v>
      </c>
      <c r="I5" s="7" t="s">
        <v>121</v>
      </c>
      <c r="J5" s="8" t="n">
        <v>5</v>
      </c>
      <c r="K5" s="8" t="n">
        <v>4</v>
      </c>
      <c r="L5" s="8" t="n">
        <v>4</v>
      </c>
      <c r="M5" s="8" t="n">
        <v>5</v>
      </c>
      <c r="N5" s="9" t="n">
        <f aca="false">ROUND(K5/5*3+L5/5*2.5+J5/5*2+M5/5*2.5,1)</f>
        <v>8.9</v>
      </c>
      <c r="O5" s="10"/>
      <c r="P5" s="10"/>
      <c r="Q5" s="10"/>
      <c r="R5" s="7" t="str">
        <f aca="false">IF(Q5="","(n/a)",IF(Q5&lt;=250000,"Small",IF(Q5&lt;=1500000,"Medium",IF(Q5&lt;=10000000,"Large","Mega"))))</f>
        <v>(n/a)</v>
      </c>
      <c r="S5" s="7" t="s">
        <v>122</v>
      </c>
      <c r="T5" s="7" t="s">
        <v>123</v>
      </c>
      <c r="U5" s="7" t="s">
        <v>124</v>
      </c>
      <c r="V5" s="7" t="s">
        <v>125</v>
      </c>
      <c r="W5" s="7" t="s">
        <v>126</v>
      </c>
      <c r="X5" s="11" t="s">
        <v>127</v>
      </c>
      <c r="Y5" s="7" t="s">
        <v>128</v>
      </c>
      <c r="Z5" s="7" t="s">
        <v>129</v>
      </c>
      <c r="AA5" s="7" t="s">
        <v>130</v>
      </c>
      <c r="AB5" s="7" t="s">
        <v>131</v>
      </c>
      <c r="AC5" s="7" t="s">
        <v>132</v>
      </c>
      <c r="AD5" s="7" t="s">
        <v>133</v>
      </c>
      <c r="AE5" s="7" t="s">
        <v>58</v>
      </c>
      <c r="AF5" s="7" t="s">
        <v>134</v>
      </c>
      <c r="AG5" s="7" t="s">
        <v>135</v>
      </c>
      <c r="AH5" s="7" t="s">
        <v>136</v>
      </c>
    </row>
    <row r="6" customFormat="false" ht="23.85" hidden="false" customHeight="false" outlineLevel="0" collapsed="false">
      <c r="A6" s="7" t="s">
        <v>137</v>
      </c>
      <c r="B6" s="7" t="s">
        <v>138</v>
      </c>
      <c r="C6" s="7" t="s">
        <v>139</v>
      </c>
      <c r="D6" s="7" t="s">
        <v>116</v>
      </c>
      <c r="E6" s="7" t="s">
        <v>140</v>
      </c>
      <c r="F6" s="7" t="s">
        <v>141</v>
      </c>
      <c r="G6" s="7" t="s">
        <v>119</v>
      </c>
      <c r="H6" s="7" t="s">
        <v>120</v>
      </c>
      <c r="I6" s="7" t="s">
        <v>121</v>
      </c>
      <c r="J6" s="8" t="n">
        <v>4</v>
      </c>
      <c r="K6" s="8" t="n">
        <v>5</v>
      </c>
      <c r="L6" s="8" t="n">
        <v>4</v>
      </c>
      <c r="M6" s="8" t="n">
        <v>4</v>
      </c>
      <c r="N6" s="9" t="n">
        <f aca="false">ROUND(K6/5*3+L6/5*2.5+J6/5*2+M6/5*2.5,1)</f>
        <v>8.6</v>
      </c>
      <c r="O6" s="10" t="n">
        <v>1000000</v>
      </c>
      <c r="P6" s="10" t="n">
        <v>2000000</v>
      </c>
      <c r="Q6" s="10" t="n">
        <v>1800000</v>
      </c>
      <c r="R6" s="7" t="str">
        <f aca="false">IF(Q6="","(n/a)",IF(Q6&lt;=250000,"Small",IF(Q6&lt;=1500000,"Medium",IF(Q6&lt;=10000000,"Large","Mega"))))</f>
        <v>Large</v>
      </c>
      <c r="S6" s="7" t="s">
        <v>122</v>
      </c>
      <c r="T6" s="7" t="s">
        <v>142</v>
      </c>
      <c r="U6" s="7" t="s">
        <v>143</v>
      </c>
      <c r="V6" s="7" t="s">
        <v>144</v>
      </c>
      <c r="W6" s="7" t="s">
        <v>145</v>
      </c>
      <c r="X6" s="11" t="s">
        <v>127</v>
      </c>
      <c r="Y6" s="7" t="s">
        <v>146</v>
      </c>
      <c r="Z6" s="7" t="s">
        <v>147</v>
      </c>
      <c r="AA6" s="7" t="s">
        <v>148</v>
      </c>
      <c r="AB6" s="7" t="s">
        <v>149</v>
      </c>
      <c r="AC6" s="7" t="s">
        <v>150</v>
      </c>
      <c r="AD6" s="7" t="s">
        <v>151</v>
      </c>
      <c r="AE6" s="7" t="s">
        <v>58</v>
      </c>
      <c r="AF6" s="7" t="s">
        <v>134</v>
      </c>
      <c r="AG6" s="7"/>
      <c r="AH6" s="7"/>
    </row>
    <row r="7" customFormat="false" ht="23.85" hidden="false" customHeight="false" outlineLevel="0" collapsed="false">
      <c r="A7" s="7" t="s">
        <v>152</v>
      </c>
      <c r="B7" s="7" t="s">
        <v>153</v>
      </c>
      <c r="C7" s="7" t="s">
        <v>154</v>
      </c>
      <c r="D7" s="7" t="s">
        <v>155</v>
      </c>
      <c r="E7" s="7" t="s">
        <v>156</v>
      </c>
      <c r="F7" s="7" t="s">
        <v>157</v>
      </c>
      <c r="G7" s="7" t="s">
        <v>119</v>
      </c>
      <c r="H7" s="7" t="s">
        <v>120</v>
      </c>
      <c r="I7" s="7" t="s">
        <v>121</v>
      </c>
      <c r="J7" s="8" t="n">
        <v>5</v>
      </c>
      <c r="K7" s="8" t="n">
        <v>3</v>
      </c>
      <c r="L7" s="8" t="n">
        <v>3</v>
      </c>
      <c r="M7" s="8" t="n">
        <v>4</v>
      </c>
      <c r="N7" s="9" t="n">
        <f aca="false">ROUND(K7/5*3+L7/5*2.5+J7/5*2+M7/5*2.5,1)</f>
        <v>7.3</v>
      </c>
      <c r="O7" s="10" t="n">
        <v>100000</v>
      </c>
      <c r="P7" s="10" t="n">
        <v>300000</v>
      </c>
      <c r="Q7" s="10" t="n">
        <v>300000</v>
      </c>
      <c r="R7" s="7" t="str">
        <f aca="false">IF(Q7="","(n/a)",IF(Q7&lt;=250000,"Small",IF(Q7&lt;=1500000,"Medium",IF(Q7&lt;=10000000,"Large","Mega"))))</f>
        <v>Medium</v>
      </c>
      <c r="S7" s="7" t="s">
        <v>122</v>
      </c>
      <c r="T7" s="7" t="s">
        <v>158</v>
      </c>
      <c r="U7" s="7" t="s">
        <v>143</v>
      </c>
      <c r="V7" s="7" t="s">
        <v>159</v>
      </c>
      <c r="W7" s="7" t="s">
        <v>126</v>
      </c>
      <c r="X7" s="11" t="s">
        <v>127</v>
      </c>
      <c r="Y7" s="7" t="s">
        <v>160</v>
      </c>
      <c r="Z7" s="7" t="s">
        <v>161</v>
      </c>
      <c r="AA7" s="7" t="s">
        <v>162</v>
      </c>
      <c r="AB7" s="7" t="s">
        <v>163</v>
      </c>
      <c r="AC7" s="7" t="s">
        <v>164</v>
      </c>
      <c r="AD7" s="7" t="s">
        <v>165</v>
      </c>
      <c r="AE7" s="7" t="s">
        <v>58</v>
      </c>
      <c r="AF7" s="7" t="s">
        <v>166</v>
      </c>
      <c r="AG7" s="7"/>
      <c r="AH7" s="7"/>
    </row>
    <row r="8" customFormat="false" ht="35.05" hidden="false" customHeight="false" outlineLevel="0" collapsed="false">
      <c r="A8" s="7" t="s">
        <v>167</v>
      </c>
      <c r="B8" s="7" t="s">
        <v>168</v>
      </c>
      <c r="C8" s="7" t="s">
        <v>169</v>
      </c>
      <c r="D8" s="7" t="s">
        <v>116</v>
      </c>
      <c r="E8" s="7" t="s">
        <v>170</v>
      </c>
      <c r="F8" s="7" t="s">
        <v>118</v>
      </c>
      <c r="G8" s="7" t="s">
        <v>119</v>
      </c>
      <c r="H8" s="7" t="s">
        <v>120</v>
      </c>
      <c r="I8" s="7" t="s">
        <v>121</v>
      </c>
      <c r="J8" s="8" t="n">
        <v>4</v>
      </c>
      <c r="K8" s="8" t="n">
        <v>3</v>
      </c>
      <c r="L8" s="8" t="n">
        <v>4</v>
      </c>
      <c r="M8" s="8" t="n">
        <v>5</v>
      </c>
      <c r="N8" s="9" t="n">
        <f aca="false">ROUND(K8/5*3+L8/5*2.5+J8/5*2+M8/5*2.5,1)</f>
        <v>7.9</v>
      </c>
      <c r="O8" s="10" t="n">
        <v>1500000</v>
      </c>
      <c r="P8" s="10" t="n">
        <v>50000000</v>
      </c>
      <c r="Q8" s="10" t="n">
        <v>15000000</v>
      </c>
      <c r="R8" s="7" t="str">
        <f aca="false">IF(Q8="","(n/a)",IF(Q8&lt;=250000,"Small",IF(Q8&lt;=1500000,"Medium",IF(Q8&lt;=10000000,"Large","Mega"))))</f>
        <v>Mega</v>
      </c>
      <c r="S8" s="7" t="s">
        <v>122</v>
      </c>
      <c r="T8" s="7" t="s">
        <v>171</v>
      </c>
      <c r="U8" s="7" t="s">
        <v>124</v>
      </c>
      <c r="V8" s="7" t="s">
        <v>172</v>
      </c>
      <c r="W8" s="7" t="s">
        <v>173</v>
      </c>
      <c r="X8" s="11" t="s">
        <v>127</v>
      </c>
      <c r="Y8" s="7" t="s">
        <v>174</v>
      </c>
      <c r="Z8" s="7" t="s">
        <v>175</v>
      </c>
      <c r="AA8" s="7" t="s">
        <v>176</v>
      </c>
      <c r="AB8" s="7" t="s">
        <v>177</v>
      </c>
      <c r="AC8" s="7" t="s">
        <v>178</v>
      </c>
      <c r="AD8" s="7" t="s">
        <v>179</v>
      </c>
      <c r="AE8" s="7" t="s">
        <v>58</v>
      </c>
      <c r="AF8" s="7" t="s">
        <v>166</v>
      </c>
      <c r="AG8" s="7" t="s">
        <v>180</v>
      </c>
      <c r="AH8" s="7" t="s">
        <v>181</v>
      </c>
    </row>
    <row r="9" customFormat="false" ht="57.45" hidden="false" customHeight="false" outlineLevel="0" collapsed="false">
      <c r="A9" s="7" t="s">
        <v>182</v>
      </c>
      <c r="B9" s="7" t="s">
        <v>183</v>
      </c>
      <c r="C9" s="7" t="s">
        <v>184</v>
      </c>
      <c r="D9" s="7" t="s">
        <v>185</v>
      </c>
      <c r="E9" s="7" t="s">
        <v>186</v>
      </c>
      <c r="F9" s="7" t="s">
        <v>187</v>
      </c>
      <c r="G9" s="7" t="s">
        <v>119</v>
      </c>
      <c r="H9" s="7" t="s">
        <v>188</v>
      </c>
      <c r="I9" s="7" t="s">
        <v>121</v>
      </c>
      <c r="J9" s="8" t="n">
        <v>0</v>
      </c>
      <c r="K9" s="8" t="n">
        <v>0</v>
      </c>
      <c r="L9" s="8" t="n">
        <v>5</v>
      </c>
      <c r="M9" s="8" t="n">
        <v>5</v>
      </c>
      <c r="N9" s="9" t="n">
        <f aca="false">ROUND(K9/5*3+L9/5*2.5+J9/5*2+M9/5*2.5,1)</f>
        <v>5</v>
      </c>
      <c r="O9" s="10"/>
      <c r="P9" s="10"/>
      <c r="Q9" s="10"/>
      <c r="R9" s="7" t="str">
        <f aca="false">IF(Q9="","(n/a)",IF(Q9&lt;=250000,"Small",IF(Q9&lt;=1500000,"Medium",IF(Q9&lt;=10000000,"Large","Mega"))))</f>
        <v>(n/a)</v>
      </c>
      <c r="S9" s="7" t="s">
        <v>189</v>
      </c>
      <c r="T9" s="7" t="s">
        <v>190</v>
      </c>
      <c r="U9" s="7" t="s">
        <v>189</v>
      </c>
      <c r="V9" s="7" t="s">
        <v>191</v>
      </c>
      <c r="W9" s="7" t="s">
        <v>192</v>
      </c>
      <c r="X9" s="11" t="s">
        <v>127</v>
      </c>
      <c r="Y9" s="7" t="s">
        <v>193</v>
      </c>
      <c r="Z9" s="7" t="s">
        <v>194</v>
      </c>
      <c r="AA9" s="7" t="s">
        <v>195</v>
      </c>
      <c r="AB9" s="7" t="s">
        <v>196</v>
      </c>
      <c r="AC9" s="7" t="s">
        <v>197</v>
      </c>
      <c r="AD9" s="7" t="s">
        <v>198</v>
      </c>
      <c r="AE9" s="7" t="s">
        <v>58</v>
      </c>
      <c r="AF9" s="7" t="s">
        <v>134</v>
      </c>
      <c r="AG9" s="7" t="s">
        <v>199</v>
      </c>
      <c r="AH9" s="7" t="s">
        <v>200</v>
      </c>
    </row>
    <row r="10" customFormat="false" ht="23.85" hidden="false" customHeight="false" outlineLevel="0" collapsed="false">
      <c r="A10" s="7" t="s">
        <v>201</v>
      </c>
      <c r="B10" s="7" t="s">
        <v>202</v>
      </c>
      <c r="C10" s="7" t="s">
        <v>203</v>
      </c>
      <c r="D10" s="7" t="s">
        <v>185</v>
      </c>
      <c r="E10" s="7" t="s">
        <v>204</v>
      </c>
      <c r="F10" s="7" t="s">
        <v>205</v>
      </c>
      <c r="G10" s="7" t="s">
        <v>119</v>
      </c>
      <c r="H10" s="7" t="s">
        <v>206</v>
      </c>
      <c r="I10" s="7" t="s">
        <v>121</v>
      </c>
      <c r="J10" s="8" t="n">
        <v>4</v>
      </c>
      <c r="K10" s="8" t="n">
        <v>4</v>
      </c>
      <c r="L10" s="8" t="n">
        <v>5</v>
      </c>
      <c r="M10" s="8" t="n">
        <v>5</v>
      </c>
      <c r="N10" s="9" t="n">
        <f aca="false">ROUND(K10/5*3+L10/5*2.5+J10/5*2+M10/5*2.5,1)</f>
        <v>9</v>
      </c>
      <c r="O10" s="10" t="n">
        <v>10000000</v>
      </c>
      <c r="P10" s="10" t="n">
        <v>50000000</v>
      </c>
      <c r="Q10" s="10" t="n">
        <v>25000000</v>
      </c>
      <c r="R10" s="7" t="str">
        <f aca="false">IF(Q10="","(n/a)",IF(Q10&lt;=250000,"Small",IF(Q10&lt;=1500000,"Medium",IF(Q10&lt;=10000000,"Large","Mega"))))</f>
        <v>Mega</v>
      </c>
      <c r="S10" s="7" t="s">
        <v>189</v>
      </c>
      <c r="T10" s="7" t="s">
        <v>207</v>
      </c>
      <c r="U10" s="7" t="s">
        <v>189</v>
      </c>
      <c r="V10" s="7" t="s">
        <v>208</v>
      </c>
      <c r="W10" s="7" t="s">
        <v>192</v>
      </c>
      <c r="X10" s="11" t="s">
        <v>127</v>
      </c>
      <c r="Y10" s="7" t="s">
        <v>209</v>
      </c>
      <c r="Z10" s="7" t="s">
        <v>210</v>
      </c>
      <c r="AA10" s="7" t="s">
        <v>211</v>
      </c>
      <c r="AB10" s="7" t="s">
        <v>212</v>
      </c>
      <c r="AC10" s="7" t="s">
        <v>197</v>
      </c>
      <c r="AD10" s="7" t="s">
        <v>213</v>
      </c>
      <c r="AE10" s="7" t="s">
        <v>58</v>
      </c>
      <c r="AF10" s="7" t="s">
        <v>166</v>
      </c>
      <c r="AG10" s="7" t="s">
        <v>135</v>
      </c>
      <c r="AH10" s="7" t="s">
        <v>214</v>
      </c>
    </row>
    <row r="11" customFormat="false" ht="23.85" hidden="false" customHeight="false" outlineLevel="0" collapsed="false">
      <c r="A11" s="7" t="s">
        <v>215</v>
      </c>
      <c r="B11" s="7" t="s">
        <v>216</v>
      </c>
      <c r="C11" s="7" t="s">
        <v>217</v>
      </c>
      <c r="D11" s="7" t="s">
        <v>155</v>
      </c>
      <c r="E11" s="7" t="s">
        <v>218</v>
      </c>
      <c r="F11" s="7" t="s">
        <v>219</v>
      </c>
      <c r="G11" s="7" t="s">
        <v>119</v>
      </c>
      <c r="H11" s="7" t="s">
        <v>220</v>
      </c>
      <c r="I11" s="7" t="s">
        <v>121</v>
      </c>
      <c r="J11" s="8" t="n">
        <v>5</v>
      </c>
      <c r="K11" s="8" t="n">
        <v>4</v>
      </c>
      <c r="L11" s="8" t="n">
        <v>4</v>
      </c>
      <c r="M11" s="8" t="n">
        <v>5</v>
      </c>
      <c r="N11" s="9" t="n">
        <f aca="false">ROUND(K11/5*3+L11/5*2.5+J11/5*2+M11/5*2.5,1)</f>
        <v>8.9</v>
      </c>
      <c r="O11" s="10" t="n">
        <v>20000</v>
      </c>
      <c r="P11" s="10" t="n">
        <v>50000</v>
      </c>
      <c r="Q11" s="10" t="n">
        <v>30000</v>
      </c>
      <c r="R11" s="7" t="str">
        <f aca="false">IF(Q11="","(n/a)",IF(Q11&lt;=250000,"Small",IF(Q11&lt;=1500000,"Medium",IF(Q11&lt;=10000000,"Large","Mega"))))</f>
        <v>Small</v>
      </c>
      <c r="S11" s="7" t="s">
        <v>189</v>
      </c>
      <c r="T11" s="7" t="s">
        <v>221</v>
      </c>
      <c r="U11" s="7" t="s">
        <v>189</v>
      </c>
      <c r="V11" s="7" t="s">
        <v>222</v>
      </c>
      <c r="W11" s="7" t="s">
        <v>126</v>
      </c>
      <c r="X11" s="11" t="s">
        <v>127</v>
      </c>
      <c r="Y11" s="7" t="s">
        <v>223</v>
      </c>
      <c r="Z11" s="7" t="s">
        <v>224</v>
      </c>
      <c r="AA11" s="7" t="s">
        <v>225</v>
      </c>
      <c r="AB11" s="7" t="s">
        <v>225</v>
      </c>
      <c r="AC11" s="7" t="s">
        <v>164</v>
      </c>
      <c r="AD11" s="7" t="s">
        <v>226</v>
      </c>
      <c r="AE11" s="7" t="s">
        <v>58</v>
      </c>
      <c r="AF11" s="7" t="s">
        <v>166</v>
      </c>
      <c r="AG11" s="7"/>
      <c r="AH11" s="7"/>
    </row>
    <row r="12" customFormat="false" ht="23.85" hidden="false" customHeight="false" outlineLevel="0" collapsed="false">
      <c r="A12" s="7" t="s">
        <v>227</v>
      </c>
      <c r="B12" s="7" t="s">
        <v>228</v>
      </c>
      <c r="C12" s="7" t="s">
        <v>229</v>
      </c>
      <c r="D12" s="7" t="s">
        <v>116</v>
      </c>
      <c r="E12" s="7" t="s">
        <v>230</v>
      </c>
      <c r="F12" s="7" t="s">
        <v>187</v>
      </c>
      <c r="G12" s="7" t="s">
        <v>119</v>
      </c>
      <c r="H12" s="7" t="s">
        <v>120</v>
      </c>
      <c r="I12" s="7" t="s">
        <v>121</v>
      </c>
      <c r="J12" s="8" t="n">
        <v>5</v>
      </c>
      <c r="K12" s="8" t="n">
        <v>3</v>
      </c>
      <c r="L12" s="8" t="n">
        <v>4</v>
      </c>
      <c r="M12" s="8" t="n">
        <v>4</v>
      </c>
      <c r="N12" s="9" t="n">
        <f aca="false">ROUND(K12/5*3+L12/5*2.5+J12/5*2+M12/5*2.5,1)</f>
        <v>7.8</v>
      </c>
      <c r="O12" s="10"/>
      <c r="P12" s="10"/>
      <c r="Q12" s="10"/>
      <c r="R12" s="7" t="str">
        <f aca="false">IF(Q12="","(n/a)",IF(Q12&lt;=250000,"Small",IF(Q12&lt;=1500000,"Medium",IF(Q12&lt;=10000000,"Large","Mega"))))</f>
        <v>(n/a)</v>
      </c>
      <c r="S12" s="7" t="s">
        <v>189</v>
      </c>
      <c r="T12" s="7" t="s">
        <v>231</v>
      </c>
      <c r="U12" s="7" t="s">
        <v>189</v>
      </c>
      <c r="V12" s="7" t="s">
        <v>232</v>
      </c>
      <c r="W12" s="7" t="s">
        <v>192</v>
      </c>
      <c r="X12" s="11" t="s">
        <v>127</v>
      </c>
      <c r="Y12" s="7" t="s">
        <v>233</v>
      </c>
      <c r="Z12" s="7" t="s">
        <v>234</v>
      </c>
      <c r="AA12" s="7" t="s">
        <v>235</v>
      </c>
      <c r="AB12" s="7" t="s">
        <v>236</v>
      </c>
      <c r="AC12" s="7" t="s">
        <v>164</v>
      </c>
      <c r="AD12" s="7" t="s">
        <v>237</v>
      </c>
      <c r="AE12" s="7" t="s">
        <v>58</v>
      </c>
      <c r="AF12" s="7" t="s">
        <v>134</v>
      </c>
      <c r="AG12" s="7"/>
      <c r="AH12" s="7"/>
    </row>
    <row r="13" customFormat="false" ht="35.05" hidden="false" customHeight="false" outlineLevel="0" collapsed="false">
      <c r="A13" s="7" t="s">
        <v>238</v>
      </c>
      <c r="B13" s="7" t="s">
        <v>239</v>
      </c>
      <c r="C13" s="7" t="s">
        <v>115</v>
      </c>
      <c r="D13" s="7" t="s">
        <v>116</v>
      </c>
      <c r="E13" s="7" t="s">
        <v>240</v>
      </c>
      <c r="F13" s="7" t="s">
        <v>118</v>
      </c>
      <c r="G13" s="7" t="s">
        <v>119</v>
      </c>
      <c r="H13" s="7" t="s">
        <v>120</v>
      </c>
      <c r="I13" s="7" t="s">
        <v>121</v>
      </c>
      <c r="J13" s="8" t="n">
        <v>2</v>
      </c>
      <c r="K13" s="8" t="n">
        <v>5</v>
      </c>
      <c r="L13" s="8" t="n">
        <v>4</v>
      </c>
      <c r="M13" s="8" t="n">
        <v>5</v>
      </c>
      <c r="N13" s="9" t="n">
        <f aca="false">ROUND(K13/5*3+L13/5*2.5+J13/5*2+M13/5*2.5,1)</f>
        <v>8.3</v>
      </c>
      <c r="O13" s="10" t="n">
        <v>2000000</v>
      </c>
      <c r="P13" s="10" t="n">
        <v>20000000</v>
      </c>
      <c r="Q13" s="10" t="n">
        <v>5000000</v>
      </c>
      <c r="R13" s="7" t="str">
        <f aca="false">IF(Q13="","(n/a)",IF(Q13&lt;=250000,"Small",IF(Q13&lt;=1500000,"Medium",IF(Q13&lt;=10000000,"Large","Mega"))))</f>
        <v>Large</v>
      </c>
      <c r="S13" s="7" t="s">
        <v>189</v>
      </c>
      <c r="T13" s="7" t="s">
        <v>241</v>
      </c>
      <c r="U13" s="7" t="s">
        <v>189</v>
      </c>
      <c r="V13" s="7" t="s">
        <v>242</v>
      </c>
      <c r="W13" s="7" t="s">
        <v>126</v>
      </c>
      <c r="X13" s="12" t="s">
        <v>243</v>
      </c>
      <c r="Y13" s="7" t="s">
        <v>244</v>
      </c>
      <c r="Z13" s="7" t="s">
        <v>245</v>
      </c>
      <c r="AA13" s="7" t="s">
        <v>246</v>
      </c>
      <c r="AB13" s="7" t="s">
        <v>131</v>
      </c>
      <c r="AC13" s="7" t="s">
        <v>247</v>
      </c>
      <c r="AD13" s="7" t="s">
        <v>248</v>
      </c>
      <c r="AE13" s="7" t="s">
        <v>58</v>
      </c>
      <c r="AF13" s="7" t="s">
        <v>166</v>
      </c>
      <c r="AG13" s="7" t="s">
        <v>135</v>
      </c>
      <c r="AH13" s="7" t="s">
        <v>249</v>
      </c>
    </row>
    <row r="14" customFormat="false" ht="35.05" hidden="false" customHeight="false" outlineLevel="0" collapsed="false">
      <c r="A14" s="7" t="s">
        <v>250</v>
      </c>
      <c r="B14" s="7" t="s">
        <v>251</v>
      </c>
      <c r="C14" s="7" t="s">
        <v>115</v>
      </c>
      <c r="D14" s="7" t="s">
        <v>116</v>
      </c>
      <c r="E14" s="7" t="s">
        <v>240</v>
      </c>
      <c r="F14" s="7" t="s">
        <v>118</v>
      </c>
      <c r="G14" s="7" t="s">
        <v>119</v>
      </c>
      <c r="H14" s="7" t="s">
        <v>120</v>
      </c>
      <c r="I14" s="7" t="s">
        <v>121</v>
      </c>
      <c r="J14" s="8" t="n">
        <v>4</v>
      </c>
      <c r="K14" s="8" t="n">
        <v>4</v>
      </c>
      <c r="L14" s="8" t="n">
        <v>4</v>
      </c>
      <c r="M14" s="8" t="n">
        <v>5</v>
      </c>
      <c r="N14" s="9" t="n">
        <f aca="false">ROUND(K14/5*3+L14/5*2.5+J14/5*2+M14/5*2.5,1)</f>
        <v>8.5</v>
      </c>
      <c r="O14" s="10" t="n">
        <v>2000000</v>
      </c>
      <c r="P14" s="10" t="n">
        <v>20000000</v>
      </c>
      <c r="Q14" s="10" t="n">
        <v>5000000</v>
      </c>
      <c r="R14" s="7" t="str">
        <f aca="false">IF(Q14="","(n/a)",IF(Q14&lt;=250000,"Small",IF(Q14&lt;=1500000,"Medium",IF(Q14&lt;=10000000,"Large","Mega"))))</f>
        <v>Large</v>
      </c>
      <c r="S14" s="7" t="s">
        <v>189</v>
      </c>
      <c r="T14" s="7" t="s">
        <v>252</v>
      </c>
      <c r="U14" s="7" t="s">
        <v>189</v>
      </c>
      <c r="V14" s="7" t="s">
        <v>253</v>
      </c>
      <c r="W14" s="7" t="s">
        <v>126</v>
      </c>
      <c r="X14" s="12" t="s">
        <v>243</v>
      </c>
      <c r="Y14" s="7" t="s">
        <v>254</v>
      </c>
      <c r="Z14" s="7" t="s">
        <v>255</v>
      </c>
      <c r="AA14" s="7" t="s">
        <v>256</v>
      </c>
      <c r="AB14" s="7" t="s">
        <v>131</v>
      </c>
      <c r="AC14" s="7" t="s">
        <v>247</v>
      </c>
      <c r="AD14" s="7" t="s">
        <v>257</v>
      </c>
      <c r="AE14" s="7" t="s">
        <v>58</v>
      </c>
      <c r="AF14" s="7" t="s">
        <v>166</v>
      </c>
      <c r="AG14" s="7" t="s">
        <v>135</v>
      </c>
      <c r="AH14" s="7" t="s">
        <v>255</v>
      </c>
    </row>
    <row r="15" customFormat="false" ht="23.85" hidden="false" customHeight="false" outlineLevel="0" collapsed="false">
      <c r="A15" s="7" t="s">
        <v>258</v>
      </c>
      <c r="B15" s="7" t="s">
        <v>259</v>
      </c>
      <c r="C15" s="7" t="s">
        <v>139</v>
      </c>
      <c r="D15" s="7" t="s">
        <v>116</v>
      </c>
      <c r="E15" s="7" t="s">
        <v>260</v>
      </c>
      <c r="F15" s="7" t="s">
        <v>141</v>
      </c>
      <c r="G15" s="7" t="s">
        <v>119</v>
      </c>
      <c r="H15" s="7" t="s">
        <v>120</v>
      </c>
      <c r="I15" s="7" t="s">
        <v>121</v>
      </c>
      <c r="J15" s="8" t="n">
        <v>4</v>
      </c>
      <c r="K15" s="8" t="n">
        <v>5</v>
      </c>
      <c r="L15" s="8" t="n">
        <v>4</v>
      </c>
      <c r="M15" s="8" t="n">
        <v>4</v>
      </c>
      <c r="N15" s="9" t="n">
        <f aca="false">ROUND(K15/5*3+L15/5*2.5+J15/5*2+M15/5*2.5,1)</f>
        <v>8.6</v>
      </c>
      <c r="O15" s="10" t="n">
        <v>200000</v>
      </c>
      <c r="P15" s="10" t="n">
        <v>275000</v>
      </c>
      <c r="Q15" s="10" t="n">
        <v>275000</v>
      </c>
      <c r="R15" s="7" t="str">
        <f aca="false">IF(Q15="","(n/a)",IF(Q15&lt;=250000,"Small",IF(Q15&lt;=1500000,"Medium",IF(Q15&lt;=10000000,"Large","Mega"))))</f>
        <v>Medium</v>
      </c>
      <c r="S15" s="7" t="s">
        <v>189</v>
      </c>
      <c r="T15" s="7" t="s">
        <v>261</v>
      </c>
      <c r="U15" s="7" t="s">
        <v>143</v>
      </c>
      <c r="V15" s="7" t="s">
        <v>262</v>
      </c>
      <c r="W15" s="7" t="s">
        <v>145</v>
      </c>
      <c r="X15" s="12" t="s">
        <v>243</v>
      </c>
      <c r="Y15" s="7" t="s">
        <v>263</v>
      </c>
      <c r="Z15" s="7" t="s">
        <v>264</v>
      </c>
      <c r="AA15" s="7" t="s">
        <v>265</v>
      </c>
      <c r="AB15" s="7" t="s">
        <v>266</v>
      </c>
      <c r="AC15" s="7" t="s">
        <v>150</v>
      </c>
      <c r="AD15" s="7" t="s">
        <v>267</v>
      </c>
      <c r="AE15" s="7" t="s">
        <v>58</v>
      </c>
      <c r="AF15" s="7" t="s">
        <v>134</v>
      </c>
      <c r="AG15" s="7"/>
      <c r="AH15" s="7"/>
    </row>
    <row r="16" customFormat="false" ht="23.85" hidden="false" customHeight="false" outlineLevel="0" collapsed="false">
      <c r="A16" s="7" t="s">
        <v>268</v>
      </c>
      <c r="B16" s="7" t="s">
        <v>269</v>
      </c>
      <c r="C16" s="7" t="s">
        <v>139</v>
      </c>
      <c r="D16" s="7" t="s">
        <v>116</v>
      </c>
      <c r="E16" s="7" t="s">
        <v>270</v>
      </c>
      <c r="F16" s="7" t="s">
        <v>141</v>
      </c>
      <c r="G16" s="7" t="s">
        <v>119</v>
      </c>
      <c r="H16" s="7" t="s">
        <v>120</v>
      </c>
      <c r="I16" s="7" t="s">
        <v>121</v>
      </c>
      <c r="J16" s="8" t="n">
        <v>3</v>
      </c>
      <c r="K16" s="8" t="n">
        <v>5</v>
      </c>
      <c r="L16" s="8" t="n">
        <v>5</v>
      </c>
      <c r="M16" s="8" t="n">
        <v>4</v>
      </c>
      <c r="N16" s="9" t="n">
        <f aca="false">ROUND(K16/5*3+L16/5*2.5+J16/5*2+M16/5*2.5,1)</f>
        <v>8.7</v>
      </c>
      <c r="O16" s="10"/>
      <c r="P16" s="10"/>
      <c r="Q16" s="10"/>
      <c r="R16" s="7" t="str">
        <f aca="false">IF(Q16="","(n/a)",IF(Q16&lt;=250000,"Small",IF(Q16&lt;=1500000,"Medium",IF(Q16&lt;=10000000,"Large","Mega"))))</f>
        <v>(n/a)</v>
      </c>
      <c r="S16" s="7" t="s">
        <v>122</v>
      </c>
      <c r="T16" s="7" t="s">
        <v>271</v>
      </c>
      <c r="U16" s="7" t="s">
        <v>143</v>
      </c>
      <c r="V16" s="7" t="s">
        <v>272</v>
      </c>
      <c r="W16" s="7" t="s">
        <v>145</v>
      </c>
      <c r="X16" s="12" t="s">
        <v>243</v>
      </c>
      <c r="Y16" s="7" t="s">
        <v>273</v>
      </c>
      <c r="Z16" s="7" t="s">
        <v>274</v>
      </c>
      <c r="AA16" s="7" t="s">
        <v>275</v>
      </c>
      <c r="AB16" s="7" t="s">
        <v>149</v>
      </c>
      <c r="AC16" s="7" t="s">
        <v>150</v>
      </c>
      <c r="AD16" s="7" t="s">
        <v>276</v>
      </c>
      <c r="AE16" s="7" t="s">
        <v>60</v>
      </c>
      <c r="AF16" s="7" t="s">
        <v>134</v>
      </c>
      <c r="AG16" s="7"/>
      <c r="AH16" s="7"/>
    </row>
    <row r="17" customFormat="false" ht="23.85" hidden="false" customHeight="false" outlineLevel="0" collapsed="false">
      <c r="A17" s="7" t="s">
        <v>277</v>
      </c>
      <c r="B17" s="7" t="s">
        <v>278</v>
      </c>
      <c r="C17" s="7" t="s">
        <v>139</v>
      </c>
      <c r="D17" s="7" t="s">
        <v>116</v>
      </c>
      <c r="E17" s="7" t="s">
        <v>279</v>
      </c>
      <c r="F17" s="7" t="s">
        <v>141</v>
      </c>
      <c r="G17" s="7" t="s">
        <v>119</v>
      </c>
      <c r="H17" s="7" t="s">
        <v>120</v>
      </c>
      <c r="I17" s="7" t="s">
        <v>121</v>
      </c>
      <c r="J17" s="8" t="n">
        <v>3</v>
      </c>
      <c r="K17" s="8" t="n">
        <v>5</v>
      </c>
      <c r="L17" s="8" t="n">
        <v>5</v>
      </c>
      <c r="M17" s="8" t="n">
        <v>4</v>
      </c>
      <c r="N17" s="9" t="n">
        <f aca="false">ROUND(K17/5*3+L17/5*2.5+J17/5*2+M17/5*2.5,1)</f>
        <v>8.7</v>
      </c>
      <c r="O17" s="10"/>
      <c r="P17" s="10"/>
      <c r="Q17" s="10" t="n">
        <v>450000</v>
      </c>
      <c r="R17" s="7" t="str">
        <f aca="false">IF(Q17="","(n/a)",IF(Q17&lt;=250000,"Small",IF(Q17&lt;=1500000,"Medium",IF(Q17&lt;=10000000,"Large","Mega"))))</f>
        <v>Medium</v>
      </c>
      <c r="S17" s="7" t="s">
        <v>122</v>
      </c>
      <c r="T17" s="7" t="s">
        <v>280</v>
      </c>
      <c r="U17" s="7" t="s">
        <v>143</v>
      </c>
      <c r="V17" s="7" t="s">
        <v>281</v>
      </c>
      <c r="W17" s="7" t="s">
        <v>145</v>
      </c>
      <c r="X17" s="12" t="s">
        <v>243</v>
      </c>
      <c r="Y17" s="7" t="s">
        <v>282</v>
      </c>
      <c r="Z17" s="7" t="s">
        <v>274</v>
      </c>
      <c r="AA17" s="7" t="s">
        <v>283</v>
      </c>
      <c r="AB17" s="7" t="s">
        <v>149</v>
      </c>
      <c r="AC17" s="7" t="s">
        <v>150</v>
      </c>
      <c r="AD17" s="7" t="s">
        <v>284</v>
      </c>
      <c r="AE17" s="7" t="s">
        <v>60</v>
      </c>
      <c r="AF17" s="7" t="s">
        <v>134</v>
      </c>
      <c r="AG17" s="7"/>
      <c r="AH17" s="7"/>
    </row>
    <row r="18" customFormat="false" ht="23.85" hidden="false" customHeight="false" outlineLevel="0" collapsed="false">
      <c r="A18" s="7" t="s">
        <v>285</v>
      </c>
      <c r="B18" s="7" t="s">
        <v>286</v>
      </c>
      <c r="C18" s="7" t="s">
        <v>287</v>
      </c>
      <c r="D18" s="7" t="s">
        <v>288</v>
      </c>
      <c r="E18" s="7" t="s">
        <v>289</v>
      </c>
      <c r="F18" s="7" t="s">
        <v>141</v>
      </c>
      <c r="G18" s="7" t="s">
        <v>119</v>
      </c>
      <c r="H18" s="7" t="s">
        <v>220</v>
      </c>
      <c r="I18" s="7" t="s">
        <v>121</v>
      </c>
      <c r="J18" s="8" t="n">
        <v>3</v>
      </c>
      <c r="K18" s="8" t="n">
        <v>3</v>
      </c>
      <c r="L18" s="8" t="n">
        <v>4</v>
      </c>
      <c r="M18" s="8" t="n">
        <v>5</v>
      </c>
      <c r="N18" s="9" t="n">
        <f aca="false">ROUND(K18/5*3+L18/5*2.5+J18/5*2+M18/5*2.5,1)</f>
        <v>7.5</v>
      </c>
      <c r="O18" s="10" t="n">
        <v>10000</v>
      </c>
      <c r="P18" s="10" t="n">
        <v>50000</v>
      </c>
      <c r="Q18" s="10" t="n">
        <v>30000</v>
      </c>
      <c r="R18" s="7" t="str">
        <f aca="false">IF(Q18="","(n/a)",IF(Q18&lt;=250000,"Small",IF(Q18&lt;=1500000,"Medium",IF(Q18&lt;=10000000,"Large","Mega"))))</f>
        <v>Small</v>
      </c>
      <c r="S18" s="7" t="s">
        <v>189</v>
      </c>
      <c r="T18" s="7" t="s">
        <v>290</v>
      </c>
      <c r="U18" s="7" t="s">
        <v>189</v>
      </c>
      <c r="V18" s="7" t="s">
        <v>291</v>
      </c>
      <c r="W18" s="7" t="s">
        <v>126</v>
      </c>
      <c r="X18" s="12" t="s">
        <v>243</v>
      </c>
      <c r="Y18" s="7" t="s">
        <v>292</v>
      </c>
      <c r="Z18" s="7" t="s">
        <v>293</v>
      </c>
      <c r="AA18" s="7" t="s">
        <v>294</v>
      </c>
      <c r="AB18" s="7" t="s">
        <v>294</v>
      </c>
      <c r="AC18" s="7" t="s">
        <v>164</v>
      </c>
      <c r="AD18" s="7" t="s">
        <v>295</v>
      </c>
      <c r="AE18" s="7" t="s">
        <v>58</v>
      </c>
      <c r="AF18" s="7" t="s">
        <v>166</v>
      </c>
      <c r="AG18" s="7"/>
      <c r="AH18" s="7"/>
    </row>
    <row r="19" customFormat="false" ht="23.85" hidden="false" customHeight="false" outlineLevel="0" collapsed="false">
      <c r="A19" s="7" t="s">
        <v>296</v>
      </c>
      <c r="B19" s="7" t="s">
        <v>297</v>
      </c>
      <c r="C19" s="7" t="s">
        <v>298</v>
      </c>
      <c r="D19" s="7" t="s">
        <v>299</v>
      </c>
      <c r="E19" s="7" t="s">
        <v>300</v>
      </c>
      <c r="F19" s="7" t="s">
        <v>141</v>
      </c>
      <c r="G19" s="7" t="s">
        <v>119</v>
      </c>
      <c r="H19" s="7" t="s">
        <v>301</v>
      </c>
      <c r="I19" s="7" t="s">
        <v>121</v>
      </c>
      <c r="J19" s="8" t="n">
        <v>4</v>
      </c>
      <c r="K19" s="8" t="n">
        <v>3</v>
      </c>
      <c r="L19" s="8" t="n">
        <v>4</v>
      </c>
      <c r="M19" s="8" t="n">
        <v>4</v>
      </c>
      <c r="N19" s="9" t="n">
        <f aca="false">ROUND(K19/5*3+L19/5*2.5+J19/5*2+M19/5*2.5,1)</f>
        <v>7.4</v>
      </c>
      <c r="O19" s="10"/>
      <c r="P19" s="10" t="n">
        <v>125000</v>
      </c>
      <c r="Q19" s="10" t="n">
        <v>125000</v>
      </c>
      <c r="R19" s="7" t="str">
        <f aca="false">IF(Q19="","(n/a)",IF(Q19&lt;=250000,"Small",IF(Q19&lt;=1500000,"Medium",IF(Q19&lt;=10000000,"Large","Mega"))))</f>
        <v>Small</v>
      </c>
      <c r="S19" s="7" t="s">
        <v>122</v>
      </c>
      <c r="T19" s="7" t="s">
        <v>302</v>
      </c>
      <c r="U19" s="7" t="s">
        <v>143</v>
      </c>
      <c r="V19" s="7" t="s">
        <v>303</v>
      </c>
      <c r="W19" s="7" t="s">
        <v>126</v>
      </c>
      <c r="X19" s="12" t="s">
        <v>243</v>
      </c>
      <c r="Y19" s="7" t="s">
        <v>234</v>
      </c>
      <c r="Z19" s="7" t="s">
        <v>304</v>
      </c>
      <c r="AA19" s="7" t="s">
        <v>305</v>
      </c>
      <c r="AB19" s="7" t="s">
        <v>306</v>
      </c>
      <c r="AC19" s="7" t="s">
        <v>164</v>
      </c>
      <c r="AD19" s="7" t="s">
        <v>307</v>
      </c>
      <c r="AE19" s="7" t="s">
        <v>60</v>
      </c>
      <c r="AF19" s="7" t="s">
        <v>134</v>
      </c>
      <c r="AG19" s="7"/>
      <c r="AH19" s="7"/>
    </row>
    <row r="20" customFormat="false" ht="23.85" hidden="false" customHeight="false" outlineLevel="0" collapsed="false">
      <c r="A20" s="7" t="s">
        <v>308</v>
      </c>
      <c r="B20" s="7" t="s">
        <v>309</v>
      </c>
      <c r="C20" s="7" t="s">
        <v>310</v>
      </c>
      <c r="D20" s="7" t="s">
        <v>155</v>
      </c>
      <c r="E20" s="7" t="s">
        <v>311</v>
      </c>
      <c r="F20" s="7" t="s">
        <v>187</v>
      </c>
      <c r="G20" s="7" t="s">
        <v>119</v>
      </c>
      <c r="H20" s="7" t="s">
        <v>220</v>
      </c>
      <c r="I20" s="7" t="s">
        <v>121</v>
      </c>
      <c r="J20" s="8" t="n">
        <v>5</v>
      </c>
      <c r="K20" s="8" t="n">
        <v>3</v>
      </c>
      <c r="L20" s="8" t="n">
        <v>3</v>
      </c>
      <c r="M20" s="8" t="n">
        <v>4</v>
      </c>
      <c r="N20" s="9" t="n">
        <f aca="false">ROUND(K20/5*3+L20/5*2.5+J20/5*2+M20/5*2.5,1)</f>
        <v>7.3</v>
      </c>
      <c r="O20" s="10" t="n">
        <v>10000</v>
      </c>
      <c r="P20" s="10" t="n">
        <v>100000</v>
      </c>
      <c r="Q20" s="10" t="n">
        <v>50000</v>
      </c>
      <c r="R20" s="7" t="str">
        <f aca="false">IF(Q20="","(n/a)",IF(Q20&lt;=250000,"Small",IF(Q20&lt;=1500000,"Medium",IF(Q20&lt;=10000000,"Large","Mega"))))</f>
        <v>Small</v>
      </c>
      <c r="S20" s="7" t="s">
        <v>189</v>
      </c>
      <c r="T20" s="7" t="s">
        <v>312</v>
      </c>
      <c r="U20" s="7" t="s">
        <v>189</v>
      </c>
      <c r="V20" s="7" t="s">
        <v>313</v>
      </c>
      <c r="W20" s="7" t="s">
        <v>192</v>
      </c>
      <c r="X20" s="12" t="s">
        <v>243</v>
      </c>
      <c r="Y20" s="7" t="s">
        <v>314</v>
      </c>
      <c r="Z20" s="7" t="s">
        <v>315</v>
      </c>
      <c r="AA20" s="7" t="s">
        <v>316</v>
      </c>
      <c r="AB20" s="7" t="s">
        <v>317</v>
      </c>
      <c r="AC20" s="7" t="s">
        <v>164</v>
      </c>
      <c r="AD20" s="7" t="s">
        <v>318</v>
      </c>
      <c r="AE20" s="7" t="s">
        <v>58</v>
      </c>
      <c r="AF20" s="7" t="s">
        <v>134</v>
      </c>
      <c r="AG20" s="7"/>
      <c r="AH20" s="7"/>
    </row>
    <row r="21" customFormat="false" ht="23.85" hidden="false" customHeight="false" outlineLevel="0" collapsed="false">
      <c r="A21" s="7" t="s">
        <v>319</v>
      </c>
      <c r="B21" s="7" t="s">
        <v>320</v>
      </c>
      <c r="C21" s="7" t="s">
        <v>321</v>
      </c>
      <c r="D21" s="7" t="s">
        <v>155</v>
      </c>
      <c r="E21" s="7" t="s">
        <v>218</v>
      </c>
      <c r="F21" s="7" t="s">
        <v>219</v>
      </c>
      <c r="G21" s="7" t="s">
        <v>119</v>
      </c>
      <c r="H21" s="7" t="s">
        <v>220</v>
      </c>
      <c r="I21" s="7" t="s">
        <v>121</v>
      </c>
      <c r="J21" s="8" t="n">
        <v>5</v>
      </c>
      <c r="K21" s="8" t="n">
        <v>3</v>
      </c>
      <c r="L21" s="8" t="n">
        <v>4</v>
      </c>
      <c r="M21" s="8" t="n">
        <v>4</v>
      </c>
      <c r="N21" s="9" t="n">
        <f aca="false">ROUND(K21/5*3+L21/5*2.5+J21/5*2+M21/5*2.5,1)</f>
        <v>7.8</v>
      </c>
      <c r="O21" s="10"/>
      <c r="P21" s="10"/>
      <c r="Q21" s="10"/>
      <c r="R21" s="7" t="str">
        <f aca="false">IF(Q21="","(n/a)",IF(Q21&lt;=250000,"Small",IF(Q21&lt;=1500000,"Medium",IF(Q21&lt;=10000000,"Large","Mega"))))</f>
        <v>(n/a)</v>
      </c>
      <c r="S21" s="7" t="s">
        <v>189</v>
      </c>
      <c r="T21" s="7" t="s">
        <v>312</v>
      </c>
      <c r="U21" s="7" t="s">
        <v>189</v>
      </c>
      <c r="V21" s="7" t="s">
        <v>322</v>
      </c>
      <c r="W21" s="7" t="s">
        <v>192</v>
      </c>
      <c r="X21" s="12" t="s">
        <v>243</v>
      </c>
      <c r="Y21" s="7" t="s">
        <v>323</v>
      </c>
      <c r="Z21" s="7" t="s">
        <v>234</v>
      </c>
      <c r="AA21" s="7" t="s">
        <v>324</v>
      </c>
      <c r="AB21" s="7" t="s">
        <v>325</v>
      </c>
      <c r="AC21" s="7" t="s">
        <v>164</v>
      </c>
      <c r="AD21" s="7" t="s">
        <v>326</v>
      </c>
      <c r="AE21" s="7" t="s">
        <v>58</v>
      </c>
      <c r="AF21" s="7" t="s">
        <v>134</v>
      </c>
      <c r="AG21" s="7"/>
      <c r="AH21" s="7"/>
    </row>
    <row r="22" customFormat="false" ht="23.85" hidden="false" customHeight="false" outlineLevel="0" collapsed="false">
      <c r="A22" s="7" t="s">
        <v>327</v>
      </c>
      <c r="B22" s="7" t="s">
        <v>328</v>
      </c>
      <c r="C22" s="7" t="s">
        <v>329</v>
      </c>
      <c r="D22" s="7" t="s">
        <v>155</v>
      </c>
      <c r="E22" s="7" t="s">
        <v>330</v>
      </c>
      <c r="F22" s="7" t="s">
        <v>187</v>
      </c>
      <c r="G22" s="7" t="s">
        <v>119</v>
      </c>
      <c r="H22" s="7" t="s">
        <v>220</v>
      </c>
      <c r="I22" s="7" t="s">
        <v>121</v>
      </c>
      <c r="J22" s="8" t="n">
        <v>5</v>
      </c>
      <c r="K22" s="8" t="n">
        <v>4</v>
      </c>
      <c r="L22" s="8" t="n">
        <v>4</v>
      </c>
      <c r="M22" s="8" t="n">
        <v>4</v>
      </c>
      <c r="N22" s="9" t="n">
        <f aca="false">ROUND(K22/5*3+L22/5*2.5+J22/5*2+M22/5*2.5,1)</f>
        <v>8.4</v>
      </c>
      <c r="O22" s="10"/>
      <c r="P22" s="10"/>
      <c r="Q22" s="10"/>
      <c r="R22" s="7" t="str">
        <f aca="false">IF(Q22="","(n/a)",IF(Q22&lt;=250000,"Small",IF(Q22&lt;=1500000,"Medium",IF(Q22&lt;=10000000,"Large","Mega"))))</f>
        <v>(n/a)</v>
      </c>
      <c r="S22" s="7" t="s">
        <v>189</v>
      </c>
      <c r="T22" s="7" t="s">
        <v>312</v>
      </c>
      <c r="U22" s="7" t="s">
        <v>189</v>
      </c>
      <c r="V22" s="7" t="s">
        <v>331</v>
      </c>
      <c r="W22" s="7" t="s">
        <v>126</v>
      </c>
      <c r="X22" s="12" t="s">
        <v>243</v>
      </c>
      <c r="Y22" s="7" t="s">
        <v>332</v>
      </c>
      <c r="Z22" s="7" t="s">
        <v>333</v>
      </c>
      <c r="AA22" s="7" t="s">
        <v>334</v>
      </c>
      <c r="AB22" s="7" t="s">
        <v>335</v>
      </c>
      <c r="AC22" s="7" t="s">
        <v>164</v>
      </c>
      <c r="AD22" s="7" t="s">
        <v>336</v>
      </c>
      <c r="AE22" s="7" t="s">
        <v>60</v>
      </c>
      <c r="AF22" s="7" t="s">
        <v>134</v>
      </c>
      <c r="AG22" s="7"/>
      <c r="AH22" s="7"/>
    </row>
    <row r="23" customFormat="false" ht="35.05" hidden="false" customHeight="false" outlineLevel="0" collapsed="false">
      <c r="A23" s="7" t="s">
        <v>337</v>
      </c>
      <c r="B23" s="7" t="s">
        <v>338</v>
      </c>
      <c r="C23" s="7" t="s">
        <v>339</v>
      </c>
      <c r="D23" s="7" t="s">
        <v>340</v>
      </c>
      <c r="E23" s="7" t="s">
        <v>341</v>
      </c>
      <c r="F23" s="7" t="s">
        <v>141</v>
      </c>
      <c r="G23" s="7" t="s">
        <v>342</v>
      </c>
      <c r="H23" s="7" t="s">
        <v>120</v>
      </c>
      <c r="I23" s="7" t="s">
        <v>343</v>
      </c>
      <c r="J23" s="8" t="n">
        <v>4</v>
      </c>
      <c r="K23" s="8" t="n">
        <v>5</v>
      </c>
      <c r="L23" s="8" t="n">
        <v>5</v>
      </c>
      <c r="M23" s="8" t="n">
        <v>3</v>
      </c>
      <c r="N23" s="9" t="n">
        <f aca="false">ROUND(K23/5*3+L23/5*2.5+J23/5*2+M23/5*2.5,1)</f>
        <v>8.6</v>
      </c>
      <c r="O23" s="10" t="n">
        <v>300000</v>
      </c>
      <c r="P23" s="10" t="n">
        <v>300000</v>
      </c>
      <c r="Q23" s="10" t="n">
        <v>300000</v>
      </c>
      <c r="R23" s="7" t="str">
        <f aca="false">IF(Q23="","(n/a)",IF(Q23&lt;=250000,"Small",IF(Q23&lt;=1500000,"Medium",IF(Q23&lt;=10000000,"Large","Mega"))))</f>
        <v>Medium</v>
      </c>
      <c r="S23" s="7" t="s">
        <v>344</v>
      </c>
      <c r="T23" s="7" t="s">
        <v>345</v>
      </c>
      <c r="U23" s="7" t="s">
        <v>143</v>
      </c>
      <c r="V23" s="7" t="s">
        <v>346</v>
      </c>
      <c r="W23" s="7" t="s">
        <v>173</v>
      </c>
      <c r="X23" s="13" t="s">
        <v>347</v>
      </c>
      <c r="Y23" s="7" t="s">
        <v>348</v>
      </c>
      <c r="Z23" s="7" t="s">
        <v>349</v>
      </c>
      <c r="AA23" s="7" t="s">
        <v>350</v>
      </c>
      <c r="AB23" s="7" t="s">
        <v>351</v>
      </c>
      <c r="AC23" s="7" t="s">
        <v>164</v>
      </c>
      <c r="AD23" s="7" t="s">
        <v>352</v>
      </c>
      <c r="AE23" s="7" t="s">
        <v>58</v>
      </c>
      <c r="AF23" s="7" t="s">
        <v>134</v>
      </c>
      <c r="AG23" s="7" t="s">
        <v>353</v>
      </c>
      <c r="AH23" s="7" t="s">
        <v>354</v>
      </c>
    </row>
    <row r="24" customFormat="false" ht="23.85" hidden="false" customHeight="false" outlineLevel="0" collapsed="false">
      <c r="A24" s="7" t="s">
        <v>355</v>
      </c>
      <c r="B24" s="7" t="s">
        <v>356</v>
      </c>
      <c r="C24" s="7" t="s">
        <v>357</v>
      </c>
      <c r="D24" s="7" t="s">
        <v>155</v>
      </c>
      <c r="E24" s="7" t="s">
        <v>358</v>
      </c>
      <c r="F24" s="7" t="s">
        <v>141</v>
      </c>
      <c r="G24" s="7" t="s">
        <v>119</v>
      </c>
      <c r="H24" s="7" t="s">
        <v>188</v>
      </c>
      <c r="I24" s="7" t="s">
        <v>121</v>
      </c>
      <c r="J24" s="8" t="n">
        <v>5</v>
      </c>
      <c r="K24" s="8" t="n">
        <v>4</v>
      </c>
      <c r="L24" s="8" t="n">
        <v>5</v>
      </c>
      <c r="M24" s="8" t="n">
        <v>4</v>
      </c>
      <c r="N24" s="9" t="n">
        <f aca="false">ROUND(K24/5*3+L24/5*2.5+J24/5*2+M24/5*2.5,1)</f>
        <v>8.9</v>
      </c>
      <c r="O24" s="10" t="n">
        <v>500000</v>
      </c>
      <c r="P24" s="10" t="n">
        <v>3000000</v>
      </c>
      <c r="Q24" s="10" t="n">
        <v>1500000</v>
      </c>
      <c r="R24" s="7" t="str">
        <f aca="false">IF(Q24="","(n/a)",IF(Q24&lt;=250000,"Small",IF(Q24&lt;=1500000,"Medium",IF(Q24&lt;=10000000,"Large","Mega"))))</f>
        <v>Medium</v>
      </c>
      <c r="S24" s="7" t="s">
        <v>359</v>
      </c>
      <c r="T24" s="7" t="s">
        <v>360</v>
      </c>
      <c r="U24" s="7" t="s">
        <v>143</v>
      </c>
      <c r="V24" s="7" t="s">
        <v>361</v>
      </c>
      <c r="W24" s="7" t="s">
        <v>126</v>
      </c>
      <c r="X24" s="13" t="s">
        <v>347</v>
      </c>
      <c r="Y24" s="7" t="s">
        <v>362</v>
      </c>
      <c r="Z24" s="7" t="s">
        <v>234</v>
      </c>
      <c r="AA24" s="7" t="s">
        <v>363</v>
      </c>
      <c r="AB24" s="7" t="s">
        <v>364</v>
      </c>
      <c r="AC24" s="7" t="s">
        <v>164</v>
      </c>
      <c r="AD24" s="7" t="s">
        <v>365</v>
      </c>
      <c r="AE24" s="7" t="s">
        <v>58</v>
      </c>
      <c r="AF24" s="7" t="s">
        <v>166</v>
      </c>
      <c r="AG24" s="7"/>
      <c r="AH24" s="7"/>
    </row>
    <row r="25" customFormat="false" ht="23.85" hidden="false" customHeight="false" outlineLevel="0" collapsed="false">
      <c r="A25" s="7" t="s">
        <v>366</v>
      </c>
      <c r="B25" s="7" t="s">
        <v>367</v>
      </c>
      <c r="C25" s="7" t="s">
        <v>368</v>
      </c>
      <c r="D25" s="7" t="s">
        <v>155</v>
      </c>
      <c r="E25" s="7" t="s">
        <v>369</v>
      </c>
      <c r="F25" s="7" t="s">
        <v>141</v>
      </c>
      <c r="G25" s="7" t="s">
        <v>370</v>
      </c>
      <c r="H25" s="7" t="s">
        <v>120</v>
      </c>
      <c r="I25" s="7" t="s">
        <v>121</v>
      </c>
      <c r="J25" s="8" t="n">
        <v>5</v>
      </c>
      <c r="K25" s="8" t="n">
        <v>4</v>
      </c>
      <c r="L25" s="8" t="n">
        <v>4</v>
      </c>
      <c r="M25" s="8" t="n">
        <v>4</v>
      </c>
      <c r="N25" s="9" t="n">
        <f aca="false">ROUND(K25/5*3+L25/5*2.5+J25/5*2+M25/5*2.5,1)</f>
        <v>8.4</v>
      </c>
      <c r="O25" s="10"/>
      <c r="P25" s="10"/>
      <c r="Q25" s="10"/>
      <c r="R25" s="7" t="str">
        <f aca="false">IF(Q25="","(n/a)",IF(Q25&lt;=250000,"Small",IF(Q25&lt;=1500000,"Medium",IF(Q25&lt;=10000000,"Large","Mega"))))</f>
        <v>(n/a)</v>
      </c>
      <c r="S25" s="7" t="s">
        <v>344</v>
      </c>
      <c r="T25" s="7" t="s">
        <v>371</v>
      </c>
      <c r="U25" s="7" t="s">
        <v>124</v>
      </c>
      <c r="V25" s="7" t="s">
        <v>372</v>
      </c>
      <c r="W25" s="7" t="s">
        <v>126</v>
      </c>
      <c r="X25" s="13" t="s">
        <v>347</v>
      </c>
      <c r="Y25" s="7" t="s">
        <v>373</v>
      </c>
      <c r="Z25" s="7" t="s">
        <v>374</v>
      </c>
      <c r="AA25" s="7" t="s">
        <v>375</v>
      </c>
      <c r="AB25" s="7" t="s">
        <v>375</v>
      </c>
      <c r="AC25" s="7" t="s">
        <v>197</v>
      </c>
      <c r="AD25" s="7" t="s">
        <v>376</v>
      </c>
      <c r="AE25" s="7" t="s">
        <v>60</v>
      </c>
      <c r="AF25" s="7" t="s">
        <v>134</v>
      </c>
      <c r="AG25" s="7"/>
      <c r="AH25" s="7"/>
    </row>
    <row r="26" customFormat="false" ht="23.85" hidden="false" customHeight="false" outlineLevel="0" collapsed="false">
      <c r="A26" s="7" t="s">
        <v>377</v>
      </c>
      <c r="B26" s="7" t="s">
        <v>378</v>
      </c>
      <c r="C26" s="7" t="s">
        <v>379</v>
      </c>
      <c r="D26" s="7" t="s">
        <v>155</v>
      </c>
      <c r="E26" s="7" t="s">
        <v>341</v>
      </c>
      <c r="F26" s="7" t="s">
        <v>141</v>
      </c>
      <c r="G26" s="7" t="s">
        <v>119</v>
      </c>
      <c r="H26" s="7" t="s">
        <v>220</v>
      </c>
      <c r="I26" s="7" t="s">
        <v>121</v>
      </c>
      <c r="J26" s="8" t="n">
        <v>5</v>
      </c>
      <c r="K26" s="8" t="n">
        <v>5</v>
      </c>
      <c r="L26" s="8" t="n">
        <v>4</v>
      </c>
      <c r="M26" s="8" t="n">
        <v>4</v>
      </c>
      <c r="N26" s="9" t="n">
        <f aca="false">ROUND(K26/5*3+L26/5*2.5+J26/5*2+M26/5*2.5,1)</f>
        <v>9</v>
      </c>
      <c r="O26" s="10" t="n">
        <v>5000</v>
      </c>
      <c r="P26" s="10" t="n">
        <v>100000</v>
      </c>
      <c r="Q26" s="10" t="n">
        <v>75000</v>
      </c>
      <c r="R26" s="7" t="str">
        <f aca="false">IF(Q26="","(n/a)",IF(Q26&lt;=250000,"Small",IF(Q26&lt;=1500000,"Medium",IF(Q26&lt;=10000000,"Large","Mega"))))</f>
        <v>Small</v>
      </c>
      <c r="S26" s="7" t="s">
        <v>344</v>
      </c>
      <c r="T26" s="7" t="s">
        <v>380</v>
      </c>
      <c r="U26" s="7" t="s">
        <v>143</v>
      </c>
      <c r="V26" s="7" t="s">
        <v>381</v>
      </c>
      <c r="W26" s="7" t="s">
        <v>126</v>
      </c>
      <c r="X26" s="13" t="s">
        <v>347</v>
      </c>
      <c r="Y26" s="7" t="s">
        <v>382</v>
      </c>
      <c r="Z26" s="7" t="s">
        <v>234</v>
      </c>
      <c r="AA26" s="7" t="s">
        <v>383</v>
      </c>
      <c r="AB26" s="7" t="s">
        <v>384</v>
      </c>
      <c r="AC26" s="7" t="s">
        <v>164</v>
      </c>
      <c r="AD26" s="7" t="s">
        <v>385</v>
      </c>
      <c r="AE26" s="7" t="s">
        <v>58</v>
      </c>
      <c r="AF26" s="7" t="s">
        <v>134</v>
      </c>
      <c r="AG26" s="7"/>
      <c r="AH26" s="7"/>
    </row>
    <row r="27" customFormat="false" ht="23.85" hidden="false" customHeight="false" outlineLevel="0" collapsed="false">
      <c r="A27" s="7" t="s">
        <v>386</v>
      </c>
      <c r="B27" s="7" t="s">
        <v>387</v>
      </c>
      <c r="C27" s="7" t="s">
        <v>388</v>
      </c>
      <c r="D27" s="7" t="s">
        <v>299</v>
      </c>
      <c r="E27" s="7" t="s">
        <v>389</v>
      </c>
      <c r="F27" s="7" t="s">
        <v>187</v>
      </c>
      <c r="G27" s="7" t="s">
        <v>119</v>
      </c>
      <c r="H27" s="7" t="s">
        <v>120</v>
      </c>
      <c r="I27" s="7" t="s">
        <v>121</v>
      </c>
      <c r="J27" s="8" t="n">
        <v>5</v>
      </c>
      <c r="K27" s="8" t="n">
        <v>4</v>
      </c>
      <c r="L27" s="8" t="n">
        <v>5</v>
      </c>
      <c r="M27" s="8" t="n">
        <v>4</v>
      </c>
      <c r="N27" s="9" t="n">
        <f aca="false">ROUND(K27/5*3+L27/5*2.5+J27/5*2+M27/5*2.5,1)</f>
        <v>8.9</v>
      </c>
      <c r="O27" s="10"/>
      <c r="P27" s="10"/>
      <c r="Q27" s="10"/>
      <c r="R27" s="7" t="str">
        <f aca="false">IF(Q27="","(n/a)",IF(Q27&lt;=250000,"Small",IF(Q27&lt;=1500000,"Medium",IF(Q27&lt;=10000000,"Large","Mega"))))</f>
        <v>(n/a)</v>
      </c>
      <c r="S27" s="7" t="s">
        <v>344</v>
      </c>
      <c r="T27" s="7" t="s">
        <v>390</v>
      </c>
      <c r="U27" s="7" t="s">
        <v>143</v>
      </c>
      <c r="V27" s="7" t="s">
        <v>391</v>
      </c>
      <c r="W27" s="7" t="s">
        <v>145</v>
      </c>
      <c r="X27" s="13" t="s">
        <v>347</v>
      </c>
      <c r="Y27" s="7" t="s">
        <v>392</v>
      </c>
      <c r="Z27" s="7" t="s">
        <v>393</v>
      </c>
      <c r="AA27" s="7" t="s">
        <v>394</v>
      </c>
      <c r="AB27" s="7" t="s">
        <v>395</v>
      </c>
      <c r="AC27" s="7" t="s">
        <v>164</v>
      </c>
      <c r="AD27" s="7" t="s">
        <v>396</v>
      </c>
      <c r="AE27" s="7" t="s">
        <v>58</v>
      </c>
      <c r="AF27" s="7" t="s">
        <v>134</v>
      </c>
      <c r="AG27" s="7" t="s">
        <v>135</v>
      </c>
      <c r="AH27" s="7" t="s">
        <v>397</v>
      </c>
    </row>
    <row r="28" customFormat="false" ht="23.85" hidden="false" customHeight="false" outlineLevel="0" collapsed="false">
      <c r="A28" s="7" t="s">
        <v>398</v>
      </c>
      <c r="B28" s="7" t="s">
        <v>399</v>
      </c>
      <c r="C28" s="7" t="s">
        <v>388</v>
      </c>
      <c r="D28" s="7" t="s">
        <v>299</v>
      </c>
      <c r="E28" s="7" t="s">
        <v>400</v>
      </c>
      <c r="F28" s="7" t="s">
        <v>141</v>
      </c>
      <c r="G28" s="7" t="s">
        <v>119</v>
      </c>
      <c r="H28" s="7" t="s">
        <v>301</v>
      </c>
      <c r="I28" s="7" t="s">
        <v>121</v>
      </c>
      <c r="J28" s="8" t="n">
        <v>4</v>
      </c>
      <c r="K28" s="8" t="n">
        <v>4</v>
      </c>
      <c r="L28" s="8" t="n">
        <v>5</v>
      </c>
      <c r="M28" s="8" t="n">
        <v>4</v>
      </c>
      <c r="N28" s="9" t="n">
        <f aca="false">ROUND(K28/5*3+L28/5*2.5+J28/5*2+M28/5*2.5,1)</f>
        <v>8.5</v>
      </c>
      <c r="O28" s="10" t="n">
        <v>100000</v>
      </c>
      <c r="P28" s="10" t="n">
        <v>400000</v>
      </c>
      <c r="Q28" s="10" t="n">
        <v>250000</v>
      </c>
      <c r="R28" s="7" t="str">
        <f aca="false">IF(Q28="","(n/a)",IF(Q28&lt;=250000,"Small",IF(Q28&lt;=1500000,"Medium",IF(Q28&lt;=10000000,"Large","Mega"))))</f>
        <v>Small</v>
      </c>
      <c r="S28" s="7" t="s">
        <v>122</v>
      </c>
      <c r="T28" s="7" t="s">
        <v>401</v>
      </c>
      <c r="U28" s="7" t="s">
        <v>143</v>
      </c>
      <c r="V28" s="7" t="s">
        <v>402</v>
      </c>
      <c r="W28" s="7" t="s">
        <v>145</v>
      </c>
      <c r="X28" s="13" t="s">
        <v>347</v>
      </c>
      <c r="Y28" s="7" t="s">
        <v>403</v>
      </c>
      <c r="Z28" s="7" t="s">
        <v>234</v>
      </c>
      <c r="AA28" s="7" t="s">
        <v>404</v>
      </c>
      <c r="AB28" s="7" t="s">
        <v>405</v>
      </c>
      <c r="AC28" s="7" t="s">
        <v>164</v>
      </c>
      <c r="AD28" s="7" t="s">
        <v>406</v>
      </c>
      <c r="AE28" s="7" t="s">
        <v>58</v>
      </c>
      <c r="AF28" s="7" t="s">
        <v>134</v>
      </c>
      <c r="AG28" s="7" t="s">
        <v>135</v>
      </c>
      <c r="AH28" s="7" t="s">
        <v>407</v>
      </c>
    </row>
    <row r="29" customFormat="false" ht="35.05" hidden="false" customHeight="false" outlineLevel="0" collapsed="false">
      <c r="A29" s="7" t="s">
        <v>408</v>
      </c>
      <c r="B29" s="7" t="s">
        <v>409</v>
      </c>
      <c r="C29" s="7" t="s">
        <v>410</v>
      </c>
      <c r="D29" s="7" t="s">
        <v>299</v>
      </c>
      <c r="E29" s="7" t="s">
        <v>411</v>
      </c>
      <c r="F29" s="7" t="s">
        <v>141</v>
      </c>
      <c r="G29" s="7" t="s">
        <v>119</v>
      </c>
      <c r="H29" s="7" t="s">
        <v>120</v>
      </c>
      <c r="I29" s="7" t="s">
        <v>121</v>
      </c>
      <c r="J29" s="8" t="n">
        <v>3</v>
      </c>
      <c r="K29" s="8" t="n">
        <v>5</v>
      </c>
      <c r="L29" s="8" t="n">
        <v>4</v>
      </c>
      <c r="M29" s="8" t="n">
        <v>3</v>
      </c>
      <c r="N29" s="9" t="n">
        <f aca="false">ROUND(K29/5*3+L29/5*2.5+J29/5*2+M29/5*2.5,1)</f>
        <v>7.7</v>
      </c>
      <c r="O29" s="10"/>
      <c r="P29" s="10"/>
      <c r="Q29" s="10" t="n">
        <v>200000</v>
      </c>
      <c r="R29" s="7" t="str">
        <f aca="false">IF(Q29="","(n/a)",IF(Q29&lt;=250000,"Small",IF(Q29&lt;=1500000,"Medium",IF(Q29&lt;=10000000,"Large","Mega"))))</f>
        <v>Small</v>
      </c>
      <c r="S29" s="7" t="s">
        <v>344</v>
      </c>
      <c r="T29" s="7" t="s">
        <v>412</v>
      </c>
      <c r="U29" s="7" t="s">
        <v>143</v>
      </c>
      <c r="V29" s="7" t="s">
        <v>413</v>
      </c>
      <c r="W29" s="7" t="s">
        <v>145</v>
      </c>
      <c r="X29" s="13" t="s">
        <v>347</v>
      </c>
      <c r="Y29" s="7" t="s">
        <v>414</v>
      </c>
      <c r="Z29" s="7" t="s">
        <v>234</v>
      </c>
      <c r="AA29" s="7" t="s">
        <v>415</v>
      </c>
      <c r="AB29" s="7" t="s">
        <v>416</v>
      </c>
      <c r="AC29" s="7" t="s">
        <v>164</v>
      </c>
      <c r="AD29" s="7" t="s">
        <v>417</v>
      </c>
      <c r="AE29" s="7" t="s">
        <v>58</v>
      </c>
      <c r="AF29" s="7" t="s">
        <v>134</v>
      </c>
      <c r="AG29" s="7"/>
      <c r="AH29" s="7"/>
    </row>
    <row r="30" customFormat="false" ht="23.85" hidden="false" customHeight="false" outlineLevel="0" collapsed="false">
      <c r="A30" s="7" t="s">
        <v>418</v>
      </c>
      <c r="B30" s="7" t="s">
        <v>419</v>
      </c>
      <c r="C30" s="7" t="s">
        <v>420</v>
      </c>
      <c r="D30" s="7" t="s">
        <v>299</v>
      </c>
      <c r="E30" s="7" t="s">
        <v>341</v>
      </c>
      <c r="F30" s="7" t="s">
        <v>141</v>
      </c>
      <c r="G30" s="7" t="s">
        <v>421</v>
      </c>
      <c r="H30" s="7" t="s">
        <v>220</v>
      </c>
      <c r="I30" s="7" t="s">
        <v>121</v>
      </c>
      <c r="J30" s="8" t="n">
        <v>3</v>
      </c>
      <c r="K30" s="8" t="n">
        <v>5</v>
      </c>
      <c r="L30" s="8" t="n">
        <v>4</v>
      </c>
      <c r="M30" s="8" t="n">
        <v>4</v>
      </c>
      <c r="N30" s="9" t="n">
        <f aca="false">ROUND(K30/5*3+L30/5*2.5+J30/5*2+M30/5*2.5,1)</f>
        <v>8.2</v>
      </c>
      <c r="O30" s="10"/>
      <c r="P30" s="10" t="n">
        <v>900000</v>
      </c>
      <c r="Q30" s="10" t="n">
        <v>500000</v>
      </c>
      <c r="R30" s="7" t="str">
        <f aca="false">IF(Q30="","(n/a)",IF(Q30&lt;=250000,"Small",IF(Q30&lt;=1500000,"Medium",IF(Q30&lt;=10000000,"Large","Mega"))))</f>
        <v>Medium</v>
      </c>
      <c r="S30" s="7" t="s">
        <v>344</v>
      </c>
      <c r="T30" s="7" t="s">
        <v>422</v>
      </c>
      <c r="U30" s="7" t="s">
        <v>143</v>
      </c>
      <c r="V30" s="7" t="s">
        <v>423</v>
      </c>
      <c r="W30" s="7" t="s">
        <v>145</v>
      </c>
      <c r="X30" s="13" t="s">
        <v>347</v>
      </c>
      <c r="Y30" s="7" t="s">
        <v>424</v>
      </c>
      <c r="Z30" s="7" t="s">
        <v>234</v>
      </c>
      <c r="AA30" s="7" t="s">
        <v>425</v>
      </c>
      <c r="AB30" s="7" t="s">
        <v>426</v>
      </c>
      <c r="AC30" s="7" t="s">
        <v>164</v>
      </c>
      <c r="AD30" s="7" t="s">
        <v>427</v>
      </c>
      <c r="AE30" s="7" t="s">
        <v>58</v>
      </c>
      <c r="AF30" s="7" t="s">
        <v>134</v>
      </c>
      <c r="AG30" s="7"/>
      <c r="AH30" s="7"/>
    </row>
    <row r="31" customFormat="false" ht="23.85" hidden="false" customHeight="false" outlineLevel="0" collapsed="false">
      <c r="A31" s="7" t="s">
        <v>428</v>
      </c>
      <c r="B31" s="7" t="s">
        <v>429</v>
      </c>
      <c r="C31" s="7" t="s">
        <v>430</v>
      </c>
      <c r="D31" s="7" t="s">
        <v>299</v>
      </c>
      <c r="E31" s="7" t="s">
        <v>341</v>
      </c>
      <c r="F31" s="7" t="s">
        <v>141</v>
      </c>
      <c r="G31" s="7" t="s">
        <v>431</v>
      </c>
      <c r="H31" s="7" t="s">
        <v>301</v>
      </c>
      <c r="I31" s="7" t="s">
        <v>121</v>
      </c>
      <c r="J31" s="8" t="n">
        <v>2</v>
      </c>
      <c r="K31" s="8" t="n">
        <v>4</v>
      </c>
      <c r="L31" s="8" t="n">
        <v>4</v>
      </c>
      <c r="M31" s="8" t="n">
        <v>3</v>
      </c>
      <c r="N31" s="9" t="n">
        <f aca="false">ROUND(K31/5*3+L31/5*2.5+J31/5*2+M31/5*2.5,1)</f>
        <v>6.7</v>
      </c>
      <c r="O31" s="10" t="n">
        <v>100000</v>
      </c>
      <c r="P31" s="10" t="n">
        <v>300000</v>
      </c>
      <c r="Q31" s="10" t="n">
        <v>200000</v>
      </c>
      <c r="R31" s="7" t="str">
        <f aca="false">IF(Q31="","(n/a)",IF(Q31&lt;=250000,"Small",IF(Q31&lt;=1500000,"Medium",IF(Q31&lt;=10000000,"Large","Mega"))))</f>
        <v>Small</v>
      </c>
      <c r="S31" s="7" t="s">
        <v>189</v>
      </c>
      <c r="T31" s="7" t="s">
        <v>432</v>
      </c>
      <c r="U31" s="7" t="s">
        <v>189</v>
      </c>
      <c r="V31" s="7" t="s">
        <v>433</v>
      </c>
      <c r="W31" s="7" t="s">
        <v>145</v>
      </c>
      <c r="X31" s="13" t="s">
        <v>347</v>
      </c>
      <c r="Y31" s="7" t="s">
        <v>434</v>
      </c>
      <c r="Z31" s="7" t="s">
        <v>234</v>
      </c>
      <c r="AA31" s="7" t="s">
        <v>435</v>
      </c>
      <c r="AB31" s="7" t="s">
        <v>436</v>
      </c>
      <c r="AC31" s="7" t="s">
        <v>164</v>
      </c>
      <c r="AD31" s="7" t="s">
        <v>437</v>
      </c>
      <c r="AE31" s="7" t="s">
        <v>58</v>
      </c>
      <c r="AF31" s="7" t="s">
        <v>134</v>
      </c>
      <c r="AG31" s="7"/>
      <c r="AH31" s="7"/>
    </row>
    <row r="32" customFormat="false" ht="23.85" hidden="false" customHeight="false" outlineLevel="0" collapsed="false">
      <c r="A32" s="7" t="s">
        <v>438</v>
      </c>
      <c r="B32" s="7" t="s">
        <v>439</v>
      </c>
      <c r="C32" s="7" t="s">
        <v>440</v>
      </c>
      <c r="D32" s="7" t="s">
        <v>116</v>
      </c>
      <c r="E32" s="7" t="s">
        <v>441</v>
      </c>
      <c r="F32" s="7" t="s">
        <v>141</v>
      </c>
      <c r="G32" s="7" t="s">
        <v>442</v>
      </c>
      <c r="H32" s="7" t="s">
        <v>443</v>
      </c>
      <c r="I32" s="7" t="s">
        <v>121</v>
      </c>
      <c r="J32" s="8" t="n">
        <v>4</v>
      </c>
      <c r="K32" s="8" t="n">
        <v>5</v>
      </c>
      <c r="L32" s="8" t="n">
        <v>4</v>
      </c>
      <c r="M32" s="8" t="n">
        <v>3</v>
      </c>
      <c r="N32" s="9" t="n">
        <f aca="false">ROUND(K32/5*3+L32/5*2.5+J32/5*2+M32/5*2.5,1)</f>
        <v>8.1</v>
      </c>
      <c r="O32" s="10" t="n">
        <v>1200000</v>
      </c>
      <c r="P32" s="10" t="n">
        <v>2000000</v>
      </c>
      <c r="Q32" s="10" t="n">
        <v>1500000</v>
      </c>
      <c r="R32" s="7" t="str">
        <f aca="false">IF(Q32="","(n/a)",IF(Q32&lt;=250000,"Small",IF(Q32&lt;=1500000,"Medium",IF(Q32&lt;=10000000,"Large","Mega"))))</f>
        <v>Medium</v>
      </c>
      <c r="S32" s="7" t="s">
        <v>344</v>
      </c>
      <c r="T32" s="7" t="s">
        <v>444</v>
      </c>
      <c r="U32" s="7" t="s">
        <v>143</v>
      </c>
      <c r="V32" s="7" t="s">
        <v>445</v>
      </c>
      <c r="W32" s="7" t="s">
        <v>192</v>
      </c>
      <c r="X32" s="13" t="s">
        <v>347</v>
      </c>
      <c r="Y32" s="7" t="s">
        <v>446</v>
      </c>
      <c r="Z32" s="7" t="s">
        <v>447</v>
      </c>
      <c r="AA32" s="7" t="s">
        <v>448</v>
      </c>
      <c r="AB32" s="7" t="s">
        <v>449</v>
      </c>
      <c r="AC32" s="7" t="s">
        <v>164</v>
      </c>
      <c r="AD32" s="7" t="s">
        <v>450</v>
      </c>
      <c r="AE32" s="7" t="s">
        <v>58</v>
      </c>
      <c r="AF32" s="7" t="s">
        <v>134</v>
      </c>
      <c r="AG32" s="7"/>
      <c r="AH32" s="7"/>
    </row>
    <row r="33" customFormat="false" ht="23.85" hidden="false" customHeight="false" outlineLevel="0" collapsed="false">
      <c r="A33" s="7" t="s">
        <v>451</v>
      </c>
      <c r="B33" s="7" t="s">
        <v>452</v>
      </c>
      <c r="C33" s="7" t="s">
        <v>453</v>
      </c>
      <c r="D33" s="7" t="s">
        <v>299</v>
      </c>
      <c r="E33" s="7" t="s">
        <v>454</v>
      </c>
      <c r="F33" s="7" t="s">
        <v>141</v>
      </c>
      <c r="G33" s="7" t="s">
        <v>455</v>
      </c>
      <c r="H33" s="7" t="s">
        <v>220</v>
      </c>
      <c r="I33" s="7" t="s">
        <v>121</v>
      </c>
      <c r="J33" s="8" t="n">
        <v>4</v>
      </c>
      <c r="K33" s="8" t="n">
        <v>3</v>
      </c>
      <c r="L33" s="8" t="n">
        <v>4</v>
      </c>
      <c r="M33" s="8" t="n">
        <v>5</v>
      </c>
      <c r="N33" s="9" t="n">
        <f aca="false">ROUND(K33/5*3+L33/5*2.5+J33/5*2+M33/5*2.5,1)</f>
        <v>7.9</v>
      </c>
      <c r="O33" s="10" t="n">
        <v>25000</v>
      </c>
      <c r="P33" s="10"/>
      <c r="Q33" s="10" t="n">
        <v>25000</v>
      </c>
      <c r="R33" s="7" t="str">
        <f aca="false">IF(Q33="","(n/a)",IF(Q33&lt;=250000,"Small",IF(Q33&lt;=1500000,"Medium",IF(Q33&lt;=10000000,"Large","Mega"))))</f>
        <v>Small</v>
      </c>
      <c r="S33" s="7" t="s">
        <v>344</v>
      </c>
      <c r="T33" s="7" t="s">
        <v>456</v>
      </c>
      <c r="U33" s="7" t="s">
        <v>143</v>
      </c>
      <c r="V33" s="7" t="s">
        <v>457</v>
      </c>
      <c r="W33" s="7" t="s">
        <v>192</v>
      </c>
      <c r="X33" s="13" t="s">
        <v>347</v>
      </c>
      <c r="Y33" s="7" t="s">
        <v>458</v>
      </c>
      <c r="Z33" s="7" t="s">
        <v>459</v>
      </c>
      <c r="AA33" s="7" t="s">
        <v>460</v>
      </c>
      <c r="AB33" s="7" t="s">
        <v>460</v>
      </c>
      <c r="AC33" s="7" t="s">
        <v>197</v>
      </c>
      <c r="AD33" s="7" t="s">
        <v>461</v>
      </c>
      <c r="AE33" s="7" t="s">
        <v>58</v>
      </c>
      <c r="AF33" s="7" t="s">
        <v>166</v>
      </c>
      <c r="AG33" s="7"/>
      <c r="AH33" s="7"/>
    </row>
    <row r="34" customFormat="false" ht="23.85" hidden="false" customHeight="false" outlineLevel="0" collapsed="false">
      <c r="A34" s="7" t="s">
        <v>462</v>
      </c>
      <c r="B34" s="7" t="s">
        <v>463</v>
      </c>
      <c r="C34" s="7" t="s">
        <v>464</v>
      </c>
      <c r="D34" s="7" t="s">
        <v>185</v>
      </c>
      <c r="E34" s="7" t="s">
        <v>465</v>
      </c>
      <c r="F34" s="7" t="s">
        <v>187</v>
      </c>
      <c r="G34" s="7" t="s">
        <v>466</v>
      </c>
      <c r="H34" s="7" t="s">
        <v>120</v>
      </c>
      <c r="I34" s="7" t="s">
        <v>121</v>
      </c>
      <c r="J34" s="8" t="n">
        <v>4</v>
      </c>
      <c r="K34" s="8" t="n">
        <v>3</v>
      </c>
      <c r="L34" s="8" t="n">
        <v>5</v>
      </c>
      <c r="M34" s="8" t="n">
        <v>5</v>
      </c>
      <c r="N34" s="9" t="n">
        <f aca="false">ROUND(K34/5*3+L34/5*2.5+J34/5*2+M34/5*2.5,1)</f>
        <v>8.4</v>
      </c>
      <c r="O34" s="10"/>
      <c r="P34" s="10"/>
      <c r="Q34" s="10"/>
      <c r="R34" s="7" t="str">
        <f aca="false">IF(Q34="","(n/a)",IF(Q34&lt;=250000,"Small",IF(Q34&lt;=1500000,"Medium",IF(Q34&lt;=10000000,"Large","Mega"))))</f>
        <v>(n/a)</v>
      </c>
      <c r="S34" s="7" t="s">
        <v>344</v>
      </c>
      <c r="T34" s="7" t="s">
        <v>467</v>
      </c>
      <c r="U34" s="7" t="s">
        <v>143</v>
      </c>
      <c r="V34" s="7" t="s">
        <v>468</v>
      </c>
      <c r="W34" s="7" t="s">
        <v>192</v>
      </c>
      <c r="X34" s="13" t="s">
        <v>347</v>
      </c>
      <c r="Y34" s="7" t="s">
        <v>469</v>
      </c>
      <c r="Z34" s="7" t="s">
        <v>470</v>
      </c>
      <c r="AA34" s="7" t="s">
        <v>471</v>
      </c>
      <c r="AB34" s="7" t="s">
        <v>471</v>
      </c>
      <c r="AC34" s="7" t="s">
        <v>197</v>
      </c>
      <c r="AD34" s="7" t="s">
        <v>472</v>
      </c>
      <c r="AE34" s="7" t="s">
        <v>58</v>
      </c>
      <c r="AF34" s="7" t="s">
        <v>166</v>
      </c>
      <c r="AG34" s="7" t="s">
        <v>473</v>
      </c>
      <c r="AH34" s="7" t="s">
        <v>474</v>
      </c>
    </row>
    <row r="35" customFormat="false" ht="23.85" hidden="false" customHeight="false" outlineLevel="0" collapsed="false">
      <c r="A35" s="7" t="s">
        <v>475</v>
      </c>
      <c r="B35" s="7" t="s">
        <v>476</v>
      </c>
      <c r="C35" s="7" t="s">
        <v>477</v>
      </c>
      <c r="D35" s="7" t="s">
        <v>185</v>
      </c>
      <c r="E35" s="7" t="s">
        <v>478</v>
      </c>
      <c r="F35" s="7" t="s">
        <v>479</v>
      </c>
      <c r="G35" s="7" t="s">
        <v>466</v>
      </c>
      <c r="H35" s="7" t="s">
        <v>480</v>
      </c>
      <c r="I35" s="7" t="s">
        <v>121</v>
      </c>
      <c r="J35" s="8" t="n">
        <v>5</v>
      </c>
      <c r="K35" s="8" t="n">
        <v>4</v>
      </c>
      <c r="L35" s="8" t="n">
        <v>5</v>
      </c>
      <c r="M35" s="8" t="n">
        <v>4</v>
      </c>
      <c r="N35" s="9" t="n">
        <f aca="false">ROUND(K35/5*3+L35/5*2.5+J35/5*2+M35/5*2.5,1)</f>
        <v>8.9</v>
      </c>
      <c r="O35" s="10" t="n">
        <v>125000</v>
      </c>
      <c r="P35" s="10" t="n">
        <v>1500000</v>
      </c>
      <c r="Q35" s="10" t="n">
        <v>500000</v>
      </c>
      <c r="R35" s="7" t="str">
        <f aca="false">IF(Q35="","(n/a)",IF(Q35&lt;=250000,"Small",IF(Q35&lt;=1500000,"Medium",IF(Q35&lt;=10000000,"Large","Mega"))))</f>
        <v>Medium</v>
      </c>
      <c r="S35" s="7" t="s">
        <v>344</v>
      </c>
      <c r="T35" s="7" t="s">
        <v>481</v>
      </c>
      <c r="U35" s="7" t="s">
        <v>143</v>
      </c>
      <c r="V35" s="7" t="s">
        <v>482</v>
      </c>
      <c r="W35" s="7" t="s">
        <v>192</v>
      </c>
      <c r="X35" s="13" t="s">
        <v>347</v>
      </c>
      <c r="Y35" s="7" t="s">
        <v>483</v>
      </c>
      <c r="Z35" s="7" t="s">
        <v>484</v>
      </c>
      <c r="AA35" s="7" t="s">
        <v>485</v>
      </c>
      <c r="AB35" s="7" t="s">
        <v>485</v>
      </c>
      <c r="AC35" s="7" t="s">
        <v>197</v>
      </c>
      <c r="AD35" s="7" t="s">
        <v>486</v>
      </c>
      <c r="AE35" s="7" t="s">
        <v>58</v>
      </c>
      <c r="AF35" s="7" t="s">
        <v>166</v>
      </c>
      <c r="AG35" s="7" t="s">
        <v>473</v>
      </c>
      <c r="AH35" s="7" t="s">
        <v>487</v>
      </c>
    </row>
    <row r="36" customFormat="false" ht="23.85" hidden="false" customHeight="false" outlineLevel="0" collapsed="false">
      <c r="A36" s="7" t="s">
        <v>488</v>
      </c>
      <c r="B36" s="7" t="s">
        <v>489</v>
      </c>
      <c r="C36" s="7" t="s">
        <v>490</v>
      </c>
      <c r="D36" s="7" t="s">
        <v>299</v>
      </c>
      <c r="E36" s="7" t="s">
        <v>491</v>
      </c>
      <c r="F36" s="7" t="s">
        <v>479</v>
      </c>
      <c r="G36" s="7" t="s">
        <v>492</v>
      </c>
      <c r="H36" s="7" t="s">
        <v>120</v>
      </c>
      <c r="I36" s="7" t="s">
        <v>121</v>
      </c>
      <c r="J36" s="8" t="n">
        <v>2</v>
      </c>
      <c r="K36" s="8" t="n">
        <v>3</v>
      </c>
      <c r="L36" s="8" t="n">
        <v>4</v>
      </c>
      <c r="M36" s="8" t="n">
        <v>4</v>
      </c>
      <c r="N36" s="9" t="n">
        <f aca="false">ROUND(K36/5*3+L36/5*2.5+J36/5*2+M36/5*2.5,1)</f>
        <v>6.6</v>
      </c>
      <c r="O36" s="10" t="n">
        <v>300000</v>
      </c>
      <c r="P36" s="10"/>
      <c r="Q36" s="10" t="n">
        <v>300000</v>
      </c>
      <c r="R36" s="7" t="str">
        <f aca="false">IF(Q36="","(n/a)",IF(Q36&lt;=250000,"Small",IF(Q36&lt;=1500000,"Medium",IF(Q36&lt;=10000000,"Large","Mega"))))</f>
        <v>Medium</v>
      </c>
      <c r="S36" s="7" t="s">
        <v>344</v>
      </c>
      <c r="T36" s="7" t="s">
        <v>493</v>
      </c>
      <c r="U36" s="7" t="s">
        <v>143</v>
      </c>
      <c r="V36" s="7" t="s">
        <v>494</v>
      </c>
      <c r="W36" s="7" t="s">
        <v>173</v>
      </c>
      <c r="X36" s="13" t="s">
        <v>347</v>
      </c>
      <c r="Y36" s="7" t="s">
        <v>495</v>
      </c>
      <c r="Z36" s="7" t="s">
        <v>234</v>
      </c>
      <c r="AA36" s="7" t="s">
        <v>496</v>
      </c>
      <c r="AB36" s="7" t="s">
        <v>497</v>
      </c>
      <c r="AC36" s="7" t="s">
        <v>164</v>
      </c>
      <c r="AD36" s="7" t="s">
        <v>498</v>
      </c>
      <c r="AE36" s="7" t="s">
        <v>58</v>
      </c>
      <c r="AF36" s="7" t="s">
        <v>134</v>
      </c>
      <c r="AG36" s="7"/>
      <c r="AH36" s="7"/>
    </row>
    <row r="37" customFormat="false" ht="35.05" hidden="false" customHeight="false" outlineLevel="0" collapsed="false">
      <c r="A37" s="7" t="s">
        <v>499</v>
      </c>
      <c r="B37" s="7" t="s">
        <v>500</v>
      </c>
      <c r="C37" s="7" t="s">
        <v>501</v>
      </c>
      <c r="D37" s="7" t="s">
        <v>340</v>
      </c>
      <c r="E37" s="7" t="s">
        <v>341</v>
      </c>
      <c r="F37" s="7" t="s">
        <v>141</v>
      </c>
      <c r="G37" s="7" t="s">
        <v>502</v>
      </c>
      <c r="H37" s="7" t="s">
        <v>120</v>
      </c>
      <c r="I37" s="7" t="s">
        <v>343</v>
      </c>
      <c r="J37" s="8" t="n">
        <v>2</v>
      </c>
      <c r="K37" s="8" t="n">
        <v>5</v>
      </c>
      <c r="L37" s="8" t="n">
        <v>3</v>
      </c>
      <c r="M37" s="8" t="n">
        <v>3</v>
      </c>
      <c r="N37" s="9" t="n">
        <f aca="false">ROUND(K37/5*3+L37/5*2.5+J37/5*2+M37/5*2.5,1)</f>
        <v>6.8</v>
      </c>
      <c r="O37" s="10" t="n">
        <v>70000</v>
      </c>
      <c r="P37" s="10" t="n">
        <v>70000</v>
      </c>
      <c r="Q37" s="10" t="n">
        <v>70000</v>
      </c>
      <c r="R37" s="7" t="str">
        <f aca="false">IF(Q37="","(n/a)",IF(Q37&lt;=250000,"Small",IF(Q37&lt;=1500000,"Medium",IF(Q37&lt;=10000000,"Large","Mega"))))</f>
        <v>Small</v>
      </c>
      <c r="S37" s="7" t="s">
        <v>344</v>
      </c>
      <c r="T37" s="7" t="s">
        <v>503</v>
      </c>
      <c r="U37" s="7" t="s">
        <v>143</v>
      </c>
      <c r="V37" s="7" t="s">
        <v>504</v>
      </c>
      <c r="W37" s="7" t="s">
        <v>173</v>
      </c>
      <c r="X37" s="13" t="s">
        <v>347</v>
      </c>
      <c r="Y37" s="7" t="s">
        <v>505</v>
      </c>
      <c r="Z37" s="7" t="s">
        <v>234</v>
      </c>
      <c r="AA37" s="7" t="s">
        <v>506</v>
      </c>
      <c r="AB37" s="7" t="s">
        <v>507</v>
      </c>
      <c r="AC37" s="7" t="s">
        <v>164</v>
      </c>
      <c r="AD37" s="7" t="s">
        <v>508</v>
      </c>
      <c r="AE37" s="7" t="s">
        <v>58</v>
      </c>
      <c r="AF37" s="7" t="s">
        <v>134</v>
      </c>
      <c r="AG37" s="7"/>
      <c r="AH37" s="7"/>
    </row>
    <row r="38" customFormat="false" ht="23.85" hidden="false" customHeight="false" outlineLevel="0" collapsed="false">
      <c r="A38" s="7" t="s">
        <v>509</v>
      </c>
      <c r="B38" s="7" t="s">
        <v>510</v>
      </c>
      <c r="C38" s="7" t="s">
        <v>511</v>
      </c>
      <c r="D38" s="7" t="s">
        <v>340</v>
      </c>
      <c r="E38" s="7" t="s">
        <v>341</v>
      </c>
      <c r="F38" s="7" t="s">
        <v>141</v>
      </c>
      <c r="G38" s="7" t="s">
        <v>512</v>
      </c>
      <c r="H38" s="7" t="s">
        <v>120</v>
      </c>
      <c r="I38" s="7" t="s">
        <v>121</v>
      </c>
      <c r="J38" s="8" t="n">
        <v>2</v>
      </c>
      <c r="K38" s="8" t="n">
        <v>5</v>
      </c>
      <c r="L38" s="8" t="n">
        <v>3</v>
      </c>
      <c r="M38" s="8" t="n">
        <v>3</v>
      </c>
      <c r="N38" s="9" t="n">
        <f aca="false">ROUND(K38/5*3+L38/5*2.5+J38/5*2+M38/5*2.5,1)</f>
        <v>6.8</v>
      </c>
      <c r="O38" s="10" t="n">
        <v>50000</v>
      </c>
      <c r="P38" s="10" t="n">
        <v>500000</v>
      </c>
      <c r="Q38" s="10" t="n">
        <v>125000</v>
      </c>
      <c r="R38" s="7" t="str">
        <f aca="false">IF(Q38="","(n/a)",IF(Q38&lt;=250000,"Small",IF(Q38&lt;=1500000,"Medium",IF(Q38&lt;=10000000,"Large","Mega"))))</f>
        <v>Small</v>
      </c>
      <c r="S38" s="7" t="s">
        <v>344</v>
      </c>
      <c r="T38" s="7" t="s">
        <v>513</v>
      </c>
      <c r="U38" s="7" t="s">
        <v>143</v>
      </c>
      <c r="V38" s="7" t="s">
        <v>514</v>
      </c>
      <c r="W38" s="7" t="s">
        <v>173</v>
      </c>
      <c r="X38" s="13" t="s">
        <v>347</v>
      </c>
      <c r="Y38" s="7" t="s">
        <v>515</v>
      </c>
      <c r="Z38" s="7" t="s">
        <v>234</v>
      </c>
      <c r="AA38" s="7" t="s">
        <v>516</v>
      </c>
      <c r="AB38" s="7" t="s">
        <v>517</v>
      </c>
      <c r="AC38" s="7" t="s">
        <v>164</v>
      </c>
      <c r="AD38" s="7" t="s">
        <v>518</v>
      </c>
      <c r="AE38" s="7" t="s">
        <v>58</v>
      </c>
      <c r="AF38" s="7" t="s">
        <v>134</v>
      </c>
      <c r="AG38" s="7"/>
      <c r="AH38" s="7"/>
    </row>
    <row r="39" customFormat="false" ht="23.85" hidden="false" customHeight="false" outlineLevel="0" collapsed="false">
      <c r="A39" s="7" t="s">
        <v>519</v>
      </c>
      <c r="B39" s="7" t="s">
        <v>520</v>
      </c>
      <c r="C39" s="7" t="s">
        <v>521</v>
      </c>
      <c r="D39" s="7" t="s">
        <v>299</v>
      </c>
      <c r="E39" s="7" t="s">
        <v>522</v>
      </c>
      <c r="F39" s="7" t="s">
        <v>141</v>
      </c>
      <c r="G39" s="7" t="s">
        <v>119</v>
      </c>
      <c r="H39" s="7" t="s">
        <v>301</v>
      </c>
      <c r="I39" s="7" t="s">
        <v>121</v>
      </c>
      <c r="J39" s="8" t="n">
        <v>2</v>
      </c>
      <c r="K39" s="8" t="n">
        <v>4</v>
      </c>
      <c r="L39" s="8" t="n">
        <v>4</v>
      </c>
      <c r="M39" s="8" t="n">
        <v>3</v>
      </c>
      <c r="N39" s="9" t="n">
        <f aca="false">ROUND(K39/5*3+L39/5*2.5+J39/5*2+M39/5*2.5,1)</f>
        <v>6.7</v>
      </c>
      <c r="O39" s="10" t="n">
        <v>500000</v>
      </c>
      <c r="P39" s="10" t="n">
        <v>10000000</v>
      </c>
      <c r="Q39" s="10" t="n">
        <v>2000000</v>
      </c>
      <c r="R39" s="7" t="str">
        <f aca="false">IF(Q39="","(n/a)",IF(Q39&lt;=250000,"Small",IF(Q39&lt;=1500000,"Medium",IF(Q39&lt;=10000000,"Large","Mega"))))</f>
        <v>Large</v>
      </c>
      <c r="S39" s="7" t="s">
        <v>189</v>
      </c>
      <c r="T39" s="7" t="s">
        <v>523</v>
      </c>
      <c r="U39" s="7" t="s">
        <v>189</v>
      </c>
      <c r="V39" s="7" t="s">
        <v>524</v>
      </c>
      <c r="W39" s="7" t="s">
        <v>126</v>
      </c>
      <c r="X39" s="13" t="s">
        <v>347</v>
      </c>
      <c r="Y39" s="7" t="s">
        <v>525</v>
      </c>
      <c r="Z39" s="7" t="s">
        <v>526</v>
      </c>
      <c r="AA39" s="7" t="s">
        <v>527</v>
      </c>
      <c r="AB39" s="7" t="s">
        <v>528</v>
      </c>
      <c r="AC39" s="7" t="s">
        <v>164</v>
      </c>
      <c r="AD39" s="7" t="s">
        <v>529</v>
      </c>
      <c r="AE39" s="7" t="s">
        <v>58</v>
      </c>
      <c r="AF39" s="7" t="s">
        <v>166</v>
      </c>
      <c r="AG39" s="7" t="s">
        <v>530</v>
      </c>
      <c r="AH39" s="7" t="s">
        <v>531</v>
      </c>
    </row>
    <row r="40" customFormat="false" ht="23.85" hidden="false" customHeight="false" outlineLevel="0" collapsed="false">
      <c r="A40" s="7" t="s">
        <v>532</v>
      </c>
      <c r="B40" s="7" t="s">
        <v>533</v>
      </c>
      <c r="C40" s="7" t="s">
        <v>357</v>
      </c>
      <c r="D40" s="7" t="s">
        <v>155</v>
      </c>
      <c r="E40" s="7" t="s">
        <v>454</v>
      </c>
      <c r="F40" s="7" t="s">
        <v>141</v>
      </c>
      <c r="G40" s="7" t="s">
        <v>119</v>
      </c>
      <c r="H40" s="7" t="s">
        <v>188</v>
      </c>
      <c r="I40" s="7" t="s">
        <v>121</v>
      </c>
      <c r="J40" s="8" t="n">
        <v>5</v>
      </c>
      <c r="K40" s="8" t="n">
        <v>3</v>
      </c>
      <c r="L40" s="8" t="n">
        <v>4</v>
      </c>
      <c r="M40" s="8" t="n">
        <v>4</v>
      </c>
      <c r="N40" s="9" t="n">
        <f aca="false">ROUND(K40/5*3+L40/5*2.5+J40/5*2+M40/5*2.5,1)</f>
        <v>7.8</v>
      </c>
      <c r="O40" s="10" t="n">
        <v>500000</v>
      </c>
      <c r="P40" s="10" t="n">
        <v>2000000</v>
      </c>
      <c r="Q40" s="10" t="n">
        <v>1000000</v>
      </c>
      <c r="R40" s="7" t="str">
        <f aca="false">IF(Q40="","(n/a)",IF(Q40&lt;=250000,"Small",IF(Q40&lt;=1500000,"Medium",IF(Q40&lt;=10000000,"Large","Mega"))))</f>
        <v>Medium</v>
      </c>
      <c r="S40" s="7" t="s">
        <v>344</v>
      </c>
      <c r="T40" s="7" t="s">
        <v>534</v>
      </c>
      <c r="U40" s="7" t="s">
        <v>143</v>
      </c>
      <c r="V40" s="7" t="s">
        <v>535</v>
      </c>
      <c r="W40" s="7" t="s">
        <v>126</v>
      </c>
      <c r="X40" s="13" t="s">
        <v>347</v>
      </c>
      <c r="Y40" s="7" t="s">
        <v>536</v>
      </c>
      <c r="Z40" s="7" t="s">
        <v>234</v>
      </c>
      <c r="AA40" s="7" t="s">
        <v>537</v>
      </c>
      <c r="AB40" s="7" t="s">
        <v>364</v>
      </c>
      <c r="AC40" s="7" t="s">
        <v>164</v>
      </c>
      <c r="AD40" s="7" t="s">
        <v>538</v>
      </c>
      <c r="AE40" s="7" t="s">
        <v>60</v>
      </c>
      <c r="AF40" s="7" t="s">
        <v>134</v>
      </c>
      <c r="AG40" s="7"/>
      <c r="AH40" s="7"/>
    </row>
    <row r="41" customFormat="false" ht="23.85" hidden="false" customHeight="false" outlineLevel="0" collapsed="false">
      <c r="A41" s="7" t="s">
        <v>539</v>
      </c>
      <c r="B41" s="7" t="s">
        <v>540</v>
      </c>
      <c r="C41" s="7" t="s">
        <v>169</v>
      </c>
      <c r="D41" s="7" t="s">
        <v>116</v>
      </c>
      <c r="E41" s="7" t="s">
        <v>140</v>
      </c>
      <c r="F41" s="7" t="s">
        <v>141</v>
      </c>
      <c r="G41" s="7" t="s">
        <v>119</v>
      </c>
      <c r="H41" s="7" t="s">
        <v>120</v>
      </c>
      <c r="I41" s="7" t="s">
        <v>121</v>
      </c>
      <c r="J41" s="8" t="n">
        <v>4</v>
      </c>
      <c r="K41" s="8" t="n">
        <v>3</v>
      </c>
      <c r="L41" s="8" t="n">
        <v>4</v>
      </c>
      <c r="M41" s="8" t="n">
        <v>4</v>
      </c>
      <c r="N41" s="9" t="n">
        <f aca="false">ROUND(K41/5*3+L41/5*2.5+J41/5*2+M41/5*2.5,1)</f>
        <v>7.4</v>
      </c>
      <c r="O41" s="10" t="n">
        <v>750000</v>
      </c>
      <c r="P41" s="10" t="n">
        <v>5000000</v>
      </c>
      <c r="Q41" s="10" t="n">
        <v>2000000</v>
      </c>
      <c r="R41" s="7" t="str">
        <f aca="false">IF(Q41="","(n/a)",IF(Q41&lt;=250000,"Small",IF(Q41&lt;=1500000,"Medium",IF(Q41&lt;=10000000,"Large","Mega"))))</f>
        <v>Large</v>
      </c>
      <c r="S41" s="7" t="s">
        <v>344</v>
      </c>
      <c r="T41" s="7" t="s">
        <v>541</v>
      </c>
      <c r="U41" s="7" t="s">
        <v>143</v>
      </c>
      <c r="V41" s="7" t="s">
        <v>542</v>
      </c>
      <c r="W41" s="7" t="s">
        <v>145</v>
      </c>
      <c r="X41" s="13" t="s">
        <v>347</v>
      </c>
      <c r="Y41" s="7" t="s">
        <v>495</v>
      </c>
      <c r="Z41" s="7" t="s">
        <v>234</v>
      </c>
      <c r="AA41" s="7" t="s">
        <v>543</v>
      </c>
      <c r="AB41" s="7" t="s">
        <v>543</v>
      </c>
      <c r="AC41" s="7" t="s">
        <v>544</v>
      </c>
      <c r="AD41" s="7" t="s">
        <v>545</v>
      </c>
      <c r="AE41" s="7" t="s">
        <v>60</v>
      </c>
      <c r="AF41" s="7" t="s">
        <v>546</v>
      </c>
      <c r="AG41" s="7"/>
      <c r="AH41" s="7"/>
    </row>
    <row r="42" customFormat="false" ht="46.25" hidden="false" customHeight="false" outlineLevel="0" collapsed="false">
      <c r="A42" s="7" t="s">
        <v>547</v>
      </c>
      <c r="B42" s="7" t="s">
        <v>548</v>
      </c>
      <c r="C42" s="7" t="s">
        <v>549</v>
      </c>
      <c r="D42" s="7" t="s">
        <v>116</v>
      </c>
      <c r="E42" s="7" t="s">
        <v>341</v>
      </c>
      <c r="F42" s="7" t="s">
        <v>141</v>
      </c>
      <c r="G42" s="7" t="s">
        <v>119</v>
      </c>
      <c r="H42" s="7" t="s">
        <v>120</v>
      </c>
      <c r="I42" s="7" t="s">
        <v>121</v>
      </c>
      <c r="J42" s="8" t="n">
        <v>4</v>
      </c>
      <c r="K42" s="8" t="n">
        <v>4</v>
      </c>
      <c r="L42" s="8" t="n">
        <v>4</v>
      </c>
      <c r="M42" s="8" t="n">
        <v>3</v>
      </c>
      <c r="N42" s="9" t="n">
        <f aca="false">ROUND(K42/5*3+L42/5*2.5+J42/5*2+M42/5*2.5,1)</f>
        <v>7.5</v>
      </c>
      <c r="O42" s="10"/>
      <c r="P42" s="10" t="n">
        <v>1200000</v>
      </c>
      <c r="Q42" s="10" t="n">
        <v>1200000</v>
      </c>
      <c r="R42" s="7" t="str">
        <f aca="false">IF(Q42="","(n/a)",IF(Q42&lt;=250000,"Small",IF(Q42&lt;=1500000,"Medium",IF(Q42&lt;=10000000,"Large","Mega"))))</f>
        <v>Medium</v>
      </c>
      <c r="S42" s="7" t="s">
        <v>344</v>
      </c>
      <c r="T42" s="7" t="s">
        <v>550</v>
      </c>
      <c r="U42" s="7" t="s">
        <v>143</v>
      </c>
      <c r="V42" s="7" t="s">
        <v>551</v>
      </c>
      <c r="W42" s="7" t="s">
        <v>145</v>
      </c>
      <c r="X42" s="13" t="s">
        <v>347</v>
      </c>
      <c r="Y42" s="7" t="s">
        <v>515</v>
      </c>
      <c r="Z42" s="7" t="s">
        <v>234</v>
      </c>
      <c r="AA42" s="7" t="s">
        <v>552</v>
      </c>
      <c r="AB42" s="7" t="s">
        <v>553</v>
      </c>
      <c r="AC42" s="7" t="s">
        <v>544</v>
      </c>
      <c r="AD42" s="7" t="s">
        <v>554</v>
      </c>
      <c r="AE42" s="7" t="s">
        <v>60</v>
      </c>
      <c r="AF42" s="7" t="s">
        <v>546</v>
      </c>
      <c r="AG42" s="7"/>
      <c r="AH42" s="7"/>
    </row>
    <row r="43" customFormat="false" ht="23.85" hidden="false" customHeight="false" outlineLevel="0" collapsed="false">
      <c r="A43" s="7" t="s">
        <v>555</v>
      </c>
      <c r="B43" s="7" t="s">
        <v>556</v>
      </c>
      <c r="C43" s="7" t="s">
        <v>557</v>
      </c>
      <c r="D43" s="7" t="s">
        <v>116</v>
      </c>
      <c r="E43" s="7" t="s">
        <v>558</v>
      </c>
      <c r="F43" s="7" t="s">
        <v>141</v>
      </c>
      <c r="G43" s="7" t="s">
        <v>119</v>
      </c>
      <c r="H43" s="7" t="s">
        <v>120</v>
      </c>
      <c r="I43" s="7" t="s">
        <v>121</v>
      </c>
      <c r="J43" s="8" t="n">
        <v>4</v>
      </c>
      <c r="K43" s="8" t="n">
        <v>4</v>
      </c>
      <c r="L43" s="8" t="n">
        <v>3</v>
      </c>
      <c r="M43" s="8" t="n">
        <v>3</v>
      </c>
      <c r="N43" s="9" t="n">
        <f aca="false">ROUND(K43/5*3+L43/5*2.5+J43/5*2+M43/5*2.5,1)</f>
        <v>7</v>
      </c>
      <c r="O43" s="10"/>
      <c r="P43" s="10" t="n">
        <v>750000</v>
      </c>
      <c r="Q43" s="10" t="n">
        <v>750000</v>
      </c>
      <c r="R43" s="7" t="str">
        <f aca="false">IF(Q43="","(n/a)",IF(Q43&lt;=250000,"Small",IF(Q43&lt;=1500000,"Medium",IF(Q43&lt;=10000000,"Large","Mega"))))</f>
        <v>Medium</v>
      </c>
      <c r="S43" s="7" t="s">
        <v>344</v>
      </c>
      <c r="T43" s="7" t="s">
        <v>559</v>
      </c>
      <c r="U43" s="7" t="s">
        <v>143</v>
      </c>
      <c r="V43" s="7" t="s">
        <v>560</v>
      </c>
      <c r="W43" s="7" t="s">
        <v>145</v>
      </c>
      <c r="X43" s="13" t="s">
        <v>347</v>
      </c>
      <c r="Y43" s="7" t="s">
        <v>561</v>
      </c>
      <c r="Z43" s="7" t="s">
        <v>234</v>
      </c>
      <c r="AA43" s="7" t="s">
        <v>562</v>
      </c>
      <c r="AB43" s="7" t="s">
        <v>562</v>
      </c>
      <c r="AC43" s="7" t="s">
        <v>164</v>
      </c>
      <c r="AD43" s="7" t="s">
        <v>563</v>
      </c>
      <c r="AE43" s="7" t="s">
        <v>58</v>
      </c>
      <c r="AF43" s="7" t="s">
        <v>546</v>
      </c>
      <c r="AG43" s="7"/>
      <c r="AH43" s="7"/>
    </row>
    <row r="44" customFormat="false" ht="23.85" hidden="false" customHeight="false" outlineLevel="0" collapsed="false">
      <c r="A44" s="7" t="s">
        <v>564</v>
      </c>
      <c r="B44" s="7" t="s">
        <v>565</v>
      </c>
      <c r="C44" s="7" t="s">
        <v>566</v>
      </c>
      <c r="D44" s="7" t="s">
        <v>116</v>
      </c>
      <c r="E44" s="7" t="s">
        <v>567</v>
      </c>
      <c r="F44" s="7" t="s">
        <v>141</v>
      </c>
      <c r="G44" s="7" t="s">
        <v>568</v>
      </c>
      <c r="H44" s="7" t="s">
        <v>569</v>
      </c>
      <c r="I44" s="7" t="s">
        <v>121</v>
      </c>
      <c r="J44" s="8" t="n">
        <v>4</v>
      </c>
      <c r="K44" s="8" t="n">
        <v>5</v>
      </c>
      <c r="L44" s="8" t="n">
        <v>5</v>
      </c>
      <c r="M44" s="8" t="n">
        <v>4</v>
      </c>
      <c r="N44" s="9" t="n">
        <f aca="false">ROUND(K44/5*3+L44/5*2.5+J44/5*2+M44/5*2.5,1)</f>
        <v>9.1</v>
      </c>
      <c r="O44" s="10" t="n">
        <v>650000</v>
      </c>
      <c r="P44" s="10" t="n">
        <v>5000000</v>
      </c>
      <c r="Q44" s="10" t="n">
        <v>2000000</v>
      </c>
      <c r="R44" s="7" t="str">
        <f aca="false">IF(Q44="","(n/a)",IF(Q44&lt;=250000,"Small",IF(Q44&lt;=1500000,"Medium",IF(Q44&lt;=10000000,"Large","Mega"))))</f>
        <v>Large</v>
      </c>
      <c r="S44" s="7" t="s">
        <v>344</v>
      </c>
      <c r="T44" s="7" t="s">
        <v>570</v>
      </c>
      <c r="U44" s="7" t="s">
        <v>124</v>
      </c>
      <c r="V44" s="7" t="s">
        <v>571</v>
      </c>
      <c r="W44" s="7" t="s">
        <v>126</v>
      </c>
      <c r="X44" s="13" t="s">
        <v>347</v>
      </c>
      <c r="Y44" s="7" t="s">
        <v>572</v>
      </c>
      <c r="Z44" s="7" t="s">
        <v>573</v>
      </c>
      <c r="AA44" s="7" t="s">
        <v>574</v>
      </c>
      <c r="AB44" s="7" t="s">
        <v>575</v>
      </c>
      <c r="AC44" s="7" t="s">
        <v>164</v>
      </c>
      <c r="AD44" s="7" t="s">
        <v>576</v>
      </c>
      <c r="AE44" s="7" t="s">
        <v>58</v>
      </c>
      <c r="AF44" s="7" t="s">
        <v>166</v>
      </c>
      <c r="AG44" s="7"/>
      <c r="AH44" s="7"/>
    </row>
    <row r="45" customFormat="false" ht="23.85" hidden="false" customHeight="false" outlineLevel="0" collapsed="false">
      <c r="A45" s="7" t="s">
        <v>577</v>
      </c>
      <c r="B45" s="7" t="s">
        <v>578</v>
      </c>
      <c r="C45" s="7" t="s">
        <v>566</v>
      </c>
      <c r="D45" s="7" t="s">
        <v>116</v>
      </c>
      <c r="E45" s="7" t="s">
        <v>579</v>
      </c>
      <c r="F45" s="7" t="s">
        <v>141</v>
      </c>
      <c r="G45" s="7" t="s">
        <v>568</v>
      </c>
      <c r="H45" s="7" t="s">
        <v>569</v>
      </c>
      <c r="I45" s="7" t="s">
        <v>121</v>
      </c>
      <c r="J45" s="8" t="n">
        <v>3</v>
      </c>
      <c r="K45" s="8" t="n">
        <v>3</v>
      </c>
      <c r="L45" s="8" t="n">
        <v>5</v>
      </c>
      <c r="M45" s="8" t="n">
        <v>5</v>
      </c>
      <c r="N45" s="9" t="n">
        <f aca="false">ROUND(K45/5*3+L45/5*2.5+J45/5*2+M45/5*2.5,1)</f>
        <v>8</v>
      </c>
      <c r="O45" s="10"/>
      <c r="P45" s="10" t="n">
        <v>650000</v>
      </c>
      <c r="Q45" s="10" t="n">
        <v>400000</v>
      </c>
      <c r="R45" s="7" t="str">
        <f aca="false">IF(Q45="","(n/a)",IF(Q45&lt;=250000,"Small",IF(Q45&lt;=1500000,"Medium",IF(Q45&lt;=10000000,"Large","Mega"))))</f>
        <v>Medium</v>
      </c>
      <c r="S45" s="7" t="s">
        <v>344</v>
      </c>
      <c r="T45" s="7" t="s">
        <v>580</v>
      </c>
      <c r="U45" s="7" t="s">
        <v>189</v>
      </c>
      <c r="V45" s="7" t="s">
        <v>581</v>
      </c>
      <c r="W45" s="7" t="s">
        <v>126</v>
      </c>
      <c r="X45" s="13" t="s">
        <v>347</v>
      </c>
      <c r="Y45" s="7" t="s">
        <v>582</v>
      </c>
      <c r="Z45" s="7" t="s">
        <v>234</v>
      </c>
      <c r="AA45" s="7" t="s">
        <v>575</v>
      </c>
      <c r="AB45" s="7" t="s">
        <v>575</v>
      </c>
      <c r="AC45" s="7" t="s">
        <v>164</v>
      </c>
      <c r="AD45" s="7" t="s">
        <v>583</v>
      </c>
      <c r="AE45" s="7" t="s">
        <v>60</v>
      </c>
      <c r="AF45" s="7" t="s">
        <v>546</v>
      </c>
      <c r="AG45" s="7"/>
      <c r="AH45" s="7"/>
    </row>
    <row r="46" customFormat="false" ht="23.85" hidden="false" customHeight="false" outlineLevel="0" collapsed="false">
      <c r="A46" s="7" t="s">
        <v>584</v>
      </c>
      <c r="B46" s="7" t="s">
        <v>585</v>
      </c>
      <c r="C46" s="7" t="s">
        <v>586</v>
      </c>
      <c r="D46" s="7" t="s">
        <v>299</v>
      </c>
      <c r="E46" s="7" t="s">
        <v>587</v>
      </c>
      <c r="F46" s="7" t="s">
        <v>141</v>
      </c>
      <c r="G46" s="7" t="s">
        <v>588</v>
      </c>
      <c r="H46" s="7" t="s">
        <v>301</v>
      </c>
      <c r="I46" s="7" t="s">
        <v>343</v>
      </c>
      <c r="J46" s="8" t="n">
        <v>3</v>
      </c>
      <c r="K46" s="8" t="n">
        <v>4</v>
      </c>
      <c r="L46" s="8" t="n">
        <v>5</v>
      </c>
      <c r="M46" s="8" t="n">
        <v>3</v>
      </c>
      <c r="N46" s="9" t="n">
        <f aca="false">ROUND(K46/5*3+L46/5*2.5+J46/5*2+M46/5*2.5,1)</f>
        <v>7.6</v>
      </c>
      <c r="O46" s="10" t="n">
        <v>1000000</v>
      </c>
      <c r="P46" s="10" t="n">
        <v>1500000</v>
      </c>
      <c r="Q46" s="10" t="n">
        <v>1200000</v>
      </c>
      <c r="R46" s="7" t="str">
        <f aca="false">IF(Q46="","(n/a)",IF(Q46&lt;=250000,"Small",IF(Q46&lt;=1500000,"Medium",IF(Q46&lt;=10000000,"Large","Mega"))))</f>
        <v>Medium</v>
      </c>
      <c r="S46" s="7" t="s">
        <v>344</v>
      </c>
      <c r="T46" s="7" t="s">
        <v>589</v>
      </c>
      <c r="U46" s="7" t="s">
        <v>143</v>
      </c>
      <c r="V46" s="7" t="s">
        <v>590</v>
      </c>
      <c r="W46" s="7" t="s">
        <v>173</v>
      </c>
      <c r="X46" s="13" t="s">
        <v>347</v>
      </c>
      <c r="Y46" s="7" t="s">
        <v>591</v>
      </c>
      <c r="Z46" s="7" t="s">
        <v>592</v>
      </c>
      <c r="AA46" s="7" t="s">
        <v>593</v>
      </c>
      <c r="AB46" s="7" t="s">
        <v>594</v>
      </c>
      <c r="AC46" s="7" t="s">
        <v>164</v>
      </c>
      <c r="AD46" s="7" t="s">
        <v>595</v>
      </c>
      <c r="AE46" s="7" t="s">
        <v>60</v>
      </c>
      <c r="AF46" s="7" t="s">
        <v>134</v>
      </c>
      <c r="AG46" s="7" t="s">
        <v>135</v>
      </c>
      <c r="AH46" s="7" t="s">
        <v>596</v>
      </c>
    </row>
    <row r="47" customFormat="false" ht="35.05" hidden="false" customHeight="false" outlineLevel="0" collapsed="false">
      <c r="A47" s="7" t="s">
        <v>597</v>
      </c>
      <c r="B47" s="7" t="s">
        <v>598</v>
      </c>
      <c r="C47" s="7" t="s">
        <v>599</v>
      </c>
      <c r="D47" s="7" t="s">
        <v>185</v>
      </c>
      <c r="E47" s="7" t="s">
        <v>465</v>
      </c>
      <c r="F47" s="7" t="s">
        <v>187</v>
      </c>
      <c r="G47" s="7" t="s">
        <v>119</v>
      </c>
      <c r="H47" s="7" t="s">
        <v>301</v>
      </c>
      <c r="I47" s="7" t="s">
        <v>121</v>
      </c>
      <c r="J47" s="8" t="n">
        <v>4</v>
      </c>
      <c r="K47" s="8" t="n">
        <v>3</v>
      </c>
      <c r="L47" s="8" t="n">
        <v>5</v>
      </c>
      <c r="M47" s="8" t="n">
        <v>5</v>
      </c>
      <c r="N47" s="9" t="n">
        <f aca="false">ROUND(K47/5*3+L47/5*2.5+J47/5*2+M47/5*2.5,1)</f>
        <v>8.4</v>
      </c>
      <c r="O47" s="10"/>
      <c r="P47" s="10"/>
      <c r="Q47" s="10"/>
      <c r="R47" s="7" t="str">
        <f aca="false">IF(Q47="","(n/a)",IF(Q47&lt;=250000,"Small",IF(Q47&lt;=1500000,"Medium",IF(Q47&lt;=10000000,"Large","Mega"))))</f>
        <v>(n/a)</v>
      </c>
      <c r="S47" s="7" t="s">
        <v>189</v>
      </c>
      <c r="T47" s="7" t="s">
        <v>600</v>
      </c>
      <c r="U47" s="7" t="s">
        <v>189</v>
      </c>
      <c r="V47" s="7" t="s">
        <v>601</v>
      </c>
      <c r="W47" s="7" t="s">
        <v>192</v>
      </c>
      <c r="X47" s="13" t="s">
        <v>347</v>
      </c>
      <c r="Y47" s="7" t="s">
        <v>602</v>
      </c>
      <c r="Z47" s="7" t="s">
        <v>603</v>
      </c>
      <c r="AA47" s="7" t="s">
        <v>604</v>
      </c>
      <c r="AB47" s="7" t="s">
        <v>604</v>
      </c>
      <c r="AC47" s="7" t="s">
        <v>197</v>
      </c>
      <c r="AD47" s="7" t="s">
        <v>605</v>
      </c>
      <c r="AE47" s="7" t="s">
        <v>58</v>
      </c>
      <c r="AF47" s="7" t="s">
        <v>134</v>
      </c>
      <c r="AG47" s="7"/>
      <c r="AH47" s="7"/>
    </row>
    <row r="48" customFormat="false" ht="23.85" hidden="false" customHeight="false" outlineLevel="0" collapsed="false">
      <c r="A48" s="7" t="s">
        <v>606</v>
      </c>
      <c r="B48" s="7" t="s">
        <v>607</v>
      </c>
      <c r="C48" s="7" t="s">
        <v>608</v>
      </c>
      <c r="D48" s="7" t="s">
        <v>288</v>
      </c>
      <c r="E48" s="7" t="s">
        <v>609</v>
      </c>
      <c r="F48" s="7" t="s">
        <v>141</v>
      </c>
      <c r="G48" s="7" t="s">
        <v>119</v>
      </c>
      <c r="H48" s="7" t="s">
        <v>220</v>
      </c>
      <c r="I48" s="7" t="s">
        <v>121</v>
      </c>
      <c r="J48" s="8" t="n">
        <v>2</v>
      </c>
      <c r="K48" s="8" t="n">
        <v>2</v>
      </c>
      <c r="L48" s="8" t="n">
        <v>3</v>
      </c>
      <c r="M48" s="8" t="n">
        <v>5</v>
      </c>
      <c r="N48" s="9" t="n">
        <f aca="false">ROUND(K48/5*3+L48/5*2.5+J48/5*2+M48/5*2.5,1)</f>
        <v>6</v>
      </c>
      <c r="O48" s="10" t="n">
        <v>50000</v>
      </c>
      <c r="P48" s="10" t="n">
        <v>500000</v>
      </c>
      <c r="Q48" s="10" t="n">
        <v>150000</v>
      </c>
      <c r="R48" s="7" t="str">
        <f aca="false">IF(Q48="","(n/a)",IF(Q48&lt;=250000,"Small",IF(Q48&lt;=1500000,"Medium",IF(Q48&lt;=10000000,"Large","Mega"))))</f>
        <v>Small</v>
      </c>
      <c r="S48" s="7" t="s">
        <v>189</v>
      </c>
      <c r="T48" s="7" t="s">
        <v>610</v>
      </c>
      <c r="U48" s="7" t="s">
        <v>189</v>
      </c>
      <c r="V48" s="7" t="s">
        <v>611</v>
      </c>
      <c r="W48" s="7" t="s">
        <v>126</v>
      </c>
      <c r="X48" s="13" t="s">
        <v>347</v>
      </c>
      <c r="Y48" s="7" t="s">
        <v>292</v>
      </c>
      <c r="Z48" s="7" t="s">
        <v>234</v>
      </c>
      <c r="AA48" s="7" t="s">
        <v>612</v>
      </c>
      <c r="AB48" s="7" t="s">
        <v>613</v>
      </c>
      <c r="AC48" s="7" t="s">
        <v>164</v>
      </c>
      <c r="AD48" s="7" t="s">
        <v>614</v>
      </c>
      <c r="AE48" s="7" t="s">
        <v>60</v>
      </c>
      <c r="AF48" s="7" t="s">
        <v>546</v>
      </c>
      <c r="AG48" s="7"/>
      <c r="AH48" s="7"/>
    </row>
    <row r="49" customFormat="false" ht="15" hidden="false" customHeight="false" outlineLevel="0" collapsed="false">
      <c r="A49" s="7" t="s">
        <v>615</v>
      </c>
      <c r="B49" s="7" t="s">
        <v>616</v>
      </c>
      <c r="C49" s="7" t="s">
        <v>617</v>
      </c>
      <c r="D49" s="7" t="s">
        <v>116</v>
      </c>
      <c r="E49" s="7" t="s">
        <v>618</v>
      </c>
      <c r="F49" s="7" t="s">
        <v>141</v>
      </c>
      <c r="G49" s="7" t="s">
        <v>119</v>
      </c>
      <c r="H49" s="7" t="s">
        <v>120</v>
      </c>
      <c r="I49" s="7" t="s">
        <v>121</v>
      </c>
      <c r="J49" s="8" t="n">
        <v>5</v>
      </c>
      <c r="K49" s="8" t="n">
        <v>4</v>
      </c>
      <c r="L49" s="8" t="n">
        <v>5</v>
      </c>
      <c r="M49" s="8" t="n">
        <v>3</v>
      </c>
      <c r="N49" s="9" t="n">
        <f aca="false">ROUND(K49/5*3+L49/5*2.5+J49/5*2+M49/5*2.5,1)</f>
        <v>8.4</v>
      </c>
      <c r="O49" s="10"/>
      <c r="P49" s="10"/>
      <c r="Q49" s="10"/>
      <c r="R49" s="7" t="str">
        <f aca="false">IF(Q49="","(n/a)",IF(Q49&lt;=250000,"Small",IF(Q49&lt;=1500000,"Medium",IF(Q49&lt;=10000000,"Large","Mega"))))</f>
        <v>(n/a)</v>
      </c>
      <c r="S49" s="7" t="s">
        <v>344</v>
      </c>
      <c r="T49" s="7" t="s">
        <v>619</v>
      </c>
      <c r="U49" s="7" t="s">
        <v>143</v>
      </c>
      <c r="V49" s="7" t="s">
        <v>620</v>
      </c>
      <c r="W49" s="7" t="s">
        <v>145</v>
      </c>
      <c r="X49" s="13" t="s">
        <v>347</v>
      </c>
      <c r="Y49" s="7" t="s">
        <v>621</v>
      </c>
      <c r="Z49" s="7" t="s">
        <v>234</v>
      </c>
      <c r="AA49" s="7" t="s">
        <v>622</v>
      </c>
      <c r="AB49" s="7" t="s">
        <v>623</v>
      </c>
      <c r="AC49" s="7" t="s">
        <v>150</v>
      </c>
      <c r="AD49" s="7" t="s">
        <v>624</v>
      </c>
      <c r="AE49" s="7" t="s">
        <v>60</v>
      </c>
      <c r="AF49" s="7" t="s">
        <v>546</v>
      </c>
      <c r="AG49" s="7"/>
      <c r="AH49" s="7"/>
    </row>
    <row r="50" customFormat="false" ht="23.85" hidden="false" customHeight="false" outlineLevel="0" collapsed="false">
      <c r="A50" s="7" t="s">
        <v>625</v>
      </c>
      <c r="B50" s="7" t="s">
        <v>626</v>
      </c>
      <c r="C50" s="7" t="s">
        <v>617</v>
      </c>
      <c r="D50" s="7" t="s">
        <v>116</v>
      </c>
      <c r="E50" s="7" t="s">
        <v>618</v>
      </c>
      <c r="F50" s="7" t="s">
        <v>141</v>
      </c>
      <c r="G50" s="7" t="s">
        <v>119</v>
      </c>
      <c r="H50" s="7" t="s">
        <v>120</v>
      </c>
      <c r="I50" s="7" t="s">
        <v>121</v>
      </c>
      <c r="J50" s="8" t="n">
        <v>5</v>
      </c>
      <c r="K50" s="8" t="n">
        <v>4</v>
      </c>
      <c r="L50" s="8" t="n">
        <v>4</v>
      </c>
      <c r="M50" s="8" t="n">
        <v>3</v>
      </c>
      <c r="N50" s="9" t="n">
        <f aca="false">ROUND(K50/5*3+L50/5*2.5+J50/5*2+M50/5*2.5,1)</f>
        <v>7.9</v>
      </c>
      <c r="O50" s="10"/>
      <c r="P50" s="10"/>
      <c r="Q50" s="10" t="n">
        <v>25000000</v>
      </c>
      <c r="R50" s="7" t="str">
        <f aca="false">IF(Q50="","(n/a)",IF(Q50&lt;=250000,"Small",IF(Q50&lt;=1500000,"Medium",IF(Q50&lt;=10000000,"Large","Mega"))))</f>
        <v>Mega</v>
      </c>
      <c r="S50" s="7" t="s">
        <v>344</v>
      </c>
      <c r="T50" s="7" t="s">
        <v>627</v>
      </c>
      <c r="U50" s="7" t="s">
        <v>143</v>
      </c>
      <c r="V50" s="7" t="s">
        <v>628</v>
      </c>
      <c r="W50" s="7" t="s">
        <v>145</v>
      </c>
      <c r="X50" s="13" t="s">
        <v>347</v>
      </c>
      <c r="Y50" s="7" t="s">
        <v>629</v>
      </c>
      <c r="Z50" s="7" t="s">
        <v>630</v>
      </c>
      <c r="AA50" s="7" t="s">
        <v>631</v>
      </c>
      <c r="AB50" s="7" t="s">
        <v>631</v>
      </c>
      <c r="AC50" s="7" t="s">
        <v>150</v>
      </c>
      <c r="AD50" s="7" t="s">
        <v>632</v>
      </c>
      <c r="AE50" s="7" t="s">
        <v>60</v>
      </c>
      <c r="AF50" s="7" t="s">
        <v>546</v>
      </c>
      <c r="AG50" s="7"/>
      <c r="AH50" s="7"/>
    </row>
    <row r="51" customFormat="false" ht="23.85" hidden="false" customHeight="false" outlineLevel="0" collapsed="false">
      <c r="A51" s="7" t="s">
        <v>633</v>
      </c>
      <c r="B51" s="7" t="s">
        <v>634</v>
      </c>
      <c r="C51" s="7" t="s">
        <v>184</v>
      </c>
      <c r="D51" s="7" t="s">
        <v>185</v>
      </c>
      <c r="E51" s="7" t="s">
        <v>635</v>
      </c>
      <c r="F51" s="7" t="s">
        <v>141</v>
      </c>
      <c r="G51" s="7" t="s">
        <v>636</v>
      </c>
      <c r="H51" s="7" t="s">
        <v>188</v>
      </c>
      <c r="I51" s="7" t="s">
        <v>121</v>
      </c>
      <c r="J51" s="8" t="n">
        <v>4</v>
      </c>
      <c r="K51" s="8" t="n">
        <v>5</v>
      </c>
      <c r="L51" s="8" t="n">
        <v>4</v>
      </c>
      <c r="M51" s="8" t="n">
        <v>4</v>
      </c>
      <c r="N51" s="9" t="n">
        <f aca="false">ROUND(K51/5*3+L51/5*2.5+J51/5*2+M51/5*2.5,1)</f>
        <v>8.6</v>
      </c>
      <c r="O51" s="10" t="n">
        <v>500000</v>
      </c>
      <c r="P51" s="10" t="n">
        <v>5000000</v>
      </c>
      <c r="Q51" s="10" t="n">
        <v>2500000</v>
      </c>
      <c r="R51" s="7" t="str">
        <f aca="false">IF(Q51="","(n/a)",IF(Q51&lt;=250000,"Small",IF(Q51&lt;=1500000,"Medium",IF(Q51&lt;=10000000,"Large","Mega"))))</f>
        <v>Large</v>
      </c>
      <c r="S51" s="7" t="s">
        <v>344</v>
      </c>
      <c r="T51" s="7" t="s">
        <v>637</v>
      </c>
      <c r="U51" s="7" t="s">
        <v>143</v>
      </c>
      <c r="V51" s="7" t="s">
        <v>638</v>
      </c>
      <c r="W51" s="7" t="s">
        <v>126</v>
      </c>
      <c r="X51" s="14" t="s">
        <v>639</v>
      </c>
      <c r="Y51" s="7" t="s">
        <v>640</v>
      </c>
      <c r="Z51" s="7" t="s">
        <v>641</v>
      </c>
      <c r="AA51" s="7" t="s">
        <v>642</v>
      </c>
      <c r="AB51" s="7" t="s">
        <v>196</v>
      </c>
      <c r="AC51" s="7" t="s">
        <v>197</v>
      </c>
      <c r="AD51" s="7" t="s">
        <v>643</v>
      </c>
      <c r="AE51" s="7" t="s">
        <v>58</v>
      </c>
      <c r="AF51" s="7" t="s">
        <v>166</v>
      </c>
      <c r="AG51" s="7"/>
      <c r="AH51" s="7"/>
    </row>
    <row r="52" customFormat="false" ht="35.05" hidden="false" customHeight="false" outlineLevel="0" collapsed="false">
      <c r="A52" s="7" t="s">
        <v>644</v>
      </c>
      <c r="B52" s="7" t="s">
        <v>645</v>
      </c>
      <c r="C52" s="7" t="s">
        <v>646</v>
      </c>
      <c r="D52" s="7" t="s">
        <v>299</v>
      </c>
      <c r="E52" s="7" t="s">
        <v>341</v>
      </c>
      <c r="F52" s="7" t="s">
        <v>141</v>
      </c>
      <c r="G52" s="7" t="s">
        <v>647</v>
      </c>
      <c r="H52" s="7" t="s">
        <v>188</v>
      </c>
      <c r="I52" s="7" t="s">
        <v>121</v>
      </c>
      <c r="J52" s="8" t="n">
        <v>4</v>
      </c>
      <c r="K52" s="8" t="n">
        <v>5</v>
      </c>
      <c r="L52" s="8" t="n">
        <v>4</v>
      </c>
      <c r="M52" s="8" t="n">
        <v>3</v>
      </c>
      <c r="N52" s="9" t="n">
        <f aca="false">ROUND(K52/5*3+L52/5*2.5+J52/5*2+M52/5*2.5,1)</f>
        <v>8.1</v>
      </c>
      <c r="O52" s="10" t="n">
        <v>1000000</v>
      </c>
      <c r="P52" s="10" t="n">
        <v>5000000</v>
      </c>
      <c r="Q52" s="10" t="n">
        <v>3000000</v>
      </c>
      <c r="R52" s="7" t="str">
        <f aca="false">IF(Q52="","(n/a)",IF(Q52&lt;=250000,"Small",IF(Q52&lt;=1500000,"Medium",IF(Q52&lt;=10000000,"Large","Mega"))))</f>
        <v>Large</v>
      </c>
      <c r="S52" s="7" t="s">
        <v>344</v>
      </c>
      <c r="T52" s="7" t="s">
        <v>648</v>
      </c>
      <c r="U52" s="7" t="s">
        <v>124</v>
      </c>
      <c r="V52" s="7" t="s">
        <v>649</v>
      </c>
      <c r="W52" s="7" t="s">
        <v>145</v>
      </c>
      <c r="X52" s="14" t="s">
        <v>639</v>
      </c>
      <c r="Y52" s="7" t="s">
        <v>650</v>
      </c>
      <c r="Z52" s="7" t="s">
        <v>234</v>
      </c>
      <c r="AA52" s="7" t="s">
        <v>651</v>
      </c>
      <c r="AB52" s="7" t="s">
        <v>652</v>
      </c>
      <c r="AC52" s="7" t="s">
        <v>164</v>
      </c>
      <c r="AD52" s="7" t="s">
        <v>653</v>
      </c>
      <c r="AE52" s="7" t="s">
        <v>60</v>
      </c>
      <c r="AF52" s="7" t="s">
        <v>134</v>
      </c>
      <c r="AG52" s="7" t="s">
        <v>654</v>
      </c>
      <c r="AH52" s="7" t="s">
        <v>655</v>
      </c>
    </row>
    <row r="53" customFormat="false" ht="15" hidden="false" customHeight="false" outlineLevel="0" collapsed="false">
      <c r="A53" s="7" t="s">
        <v>656</v>
      </c>
      <c r="B53" s="7" t="s">
        <v>657</v>
      </c>
      <c r="C53" s="7" t="s">
        <v>115</v>
      </c>
      <c r="D53" s="7" t="s">
        <v>116</v>
      </c>
      <c r="E53" s="7" t="s">
        <v>658</v>
      </c>
      <c r="F53" s="7" t="s">
        <v>141</v>
      </c>
      <c r="G53" s="7" t="s">
        <v>659</v>
      </c>
      <c r="H53" s="7" t="s">
        <v>120</v>
      </c>
      <c r="I53" s="7" t="s">
        <v>343</v>
      </c>
      <c r="J53" s="8" t="n">
        <v>3</v>
      </c>
      <c r="K53" s="8" t="n">
        <v>4</v>
      </c>
      <c r="L53" s="8" t="n">
        <v>3</v>
      </c>
      <c r="M53" s="8" t="n">
        <v>2</v>
      </c>
      <c r="N53" s="9" t="n">
        <f aca="false">ROUND(K53/5*3+L53/5*2.5+J53/5*2+M53/5*2.5,1)</f>
        <v>6.1</v>
      </c>
      <c r="O53" s="10" t="n">
        <v>600000</v>
      </c>
      <c r="P53" s="10" t="n">
        <v>3500000</v>
      </c>
      <c r="Q53" s="10" t="n">
        <v>2000000</v>
      </c>
      <c r="R53" s="7" t="str">
        <f aca="false">IF(Q53="","(n/a)",IF(Q53&lt;=250000,"Small",IF(Q53&lt;=1500000,"Medium",IF(Q53&lt;=10000000,"Large","Mega"))))</f>
        <v>Large</v>
      </c>
      <c r="S53" s="7" t="s">
        <v>344</v>
      </c>
      <c r="T53" s="7" t="s">
        <v>660</v>
      </c>
      <c r="U53" s="7" t="s">
        <v>143</v>
      </c>
      <c r="V53" s="7" t="s">
        <v>661</v>
      </c>
      <c r="W53" s="7" t="s">
        <v>126</v>
      </c>
      <c r="X53" s="14" t="s">
        <v>639</v>
      </c>
      <c r="Y53" s="7" t="s">
        <v>662</v>
      </c>
      <c r="Z53" s="7" t="s">
        <v>663</v>
      </c>
      <c r="AA53" s="7" t="s">
        <v>664</v>
      </c>
      <c r="AB53" s="7" t="s">
        <v>664</v>
      </c>
      <c r="AC53" s="7" t="s">
        <v>247</v>
      </c>
      <c r="AD53" s="7" t="s">
        <v>665</v>
      </c>
      <c r="AE53" s="7" t="s">
        <v>58</v>
      </c>
      <c r="AF53" s="7" t="s">
        <v>134</v>
      </c>
      <c r="AG53" s="7"/>
      <c r="AH53" s="7"/>
    </row>
    <row r="54" customFormat="false" ht="23.85" hidden="false" customHeight="false" outlineLevel="0" collapsed="false">
      <c r="A54" s="7" t="s">
        <v>666</v>
      </c>
      <c r="B54" s="7" t="s">
        <v>667</v>
      </c>
      <c r="C54" s="7" t="s">
        <v>139</v>
      </c>
      <c r="D54" s="7" t="s">
        <v>116</v>
      </c>
      <c r="E54" s="7" t="s">
        <v>658</v>
      </c>
      <c r="F54" s="7" t="s">
        <v>141</v>
      </c>
      <c r="G54" s="7" t="s">
        <v>659</v>
      </c>
      <c r="H54" s="7" t="s">
        <v>120</v>
      </c>
      <c r="I54" s="7" t="s">
        <v>343</v>
      </c>
      <c r="J54" s="8" t="n">
        <v>4</v>
      </c>
      <c r="K54" s="8" t="n">
        <v>5</v>
      </c>
      <c r="L54" s="8" t="n">
        <v>4</v>
      </c>
      <c r="M54" s="8" t="n">
        <v>2</v>
      </c>
      <c r="N54" s="9" t="n">
        <f aca="false">ROUND(K54/5*3+L54/5*2.5+J54/5*2+M54/5*2.5,1)</f>
        <v>7.6</v>
      </c>
      <c r="O54" s="10" t="n">
        <v>300000</v>
      </c>
      <c r="P54" s="10" t="n">
        <v>2000000</v>
      </c>
      <c r="Q54" s="10" t="n">
        <v>1000000</v>
      </c>
      <c r="R54" s="7" t="str">
        <f aca="false">IF(Q54="","(n/a)",IF(Q54&lt;=250000,"Small",IF(Q54&lt;=1500000,"Medium",IF(Q54&lt;=10000000,"Large","Mega"))))</f>
        <v>Medium</v>
      </c>
      <c r="S54" s="7" t="s">
        <v>344</v>
      </c>
      <c r="T54" s="7" t="s">
        <v>668</v>
      </c>
      <c r="U54" s="7" t="s">
        <v>143</v>
      </c>
      <c r="V54" s="7" t="s">
        <v>669</v>
      </c>
      <c r="W54" s="7" t="s">
        <v>145</v>
      </c>
      <c r="X54" s="14" t="s">
        <v>639</v>
      </c>
      <c r="Y54" s="7" t="s">
        <v>505</v>
      </c>
      <c r="Z54" s="7" t="s">
        <v>234</v>
      </c>
      <c r="AA54" s="7" t="s">
        <v>670</v>
      </c>
      <c r="AB54" s="7" t="s">
        <v>670</v>
      </c>
      <c r="AC54" s="7" t="s">
        <v>150</v>
      </c>
      <c r="AD54" s="7" t="s">
        <v>671</v>
      </c>
      <c r="AE54" s="7" t="s">
        <v>58</v>
      </c>
      <c r="AF54" s="7" t="s">
        <v>134</v>
      </c>
      <c r="AG54" s="7"/>
      <c r="AH54" s="7"/>
    </row>
    <row r="55" customFormat="false" ht="23.85" hidden="false" customHeight="false" outlineLevel="0" collapsed="false">
      <c r="A55" s="7" t="s">
        <v>672</v>
      </c>
      <c r="B55" s="7" t="s">
        <v>673</v>
      </c>
      <c r="C55" s="7" t="s">
        <v>339</v>
      </c>
      <c r="D55" s="7" t="s">
        <v>340</v>
      </c>
      <c r="E55" s="7" t="s">
        <v>465</v>
      </c>
      <c r="F55" s="7" t="s">
        <v>674</v>
      </c>
      <c r="G55" s="7" t="s">
        <v>659</v>
      </c>
      <c r="H55" s="7" t="s">
        <v>120</v>
      </c>
      <c r="I55" s="7" t="s">
        <v>343</v>
      </c>
      <c r="J55" s="8" t="n">
        <v>4</v>
      </c>
      <c r="K55" s="8" t="n">
        <v>5</v>
      </c>
      <c r="L55" s="8" t="n">
        <v>4</v>
      </c>
      <c r="M55" s="8" t="n">
        <v>2</v>
      </c>
      <c r="N55" s="9" t="n">
        <f aca="false">ROUND(K55/5*3+L55/5*2.5+J55/5*2+M55/5*2.5,1)</f>
        <v>7.6</v>
      </c>
      <c r="O55" s="10"/>
      <c r="P55" s="10"/>
      <c r="Q55" s="10"/>
      <c r="R55" s="7" t="str">
        <f aca="false">IF(Q55="","(n/a)",IF(Q55&lt;=250000,"Small",IF(Q55&lt;=1500000,"Medium",IF(Q55&lt;=10000000,"Large","Mega"))))</f>
        <v>(n/a)</v>
      </c>
      <c r="S55" s="7" t="s">
        <v>344</v>
      </c>
      <c r="T55" s="7" t="s">
        <v>675</v>
      </c>
      <c r="U55" s="7" t="s">
        <v>143</v>
      </c>
      <c r="V55" s="7" t="s">
        <v>676</v>
      </c>
      <c r="W55" s="7" t="s">
        <v>192</v>
      </c>
      <c r="X55" s="14" t="s">
        <v>639</v>
      </c>
      <c r="Y55" s="7" t="s">
        <v>677</v>
      </c>
      <c r="Z55" s="7" t="s">
        <v>678</v>
      </c>
      <c r="AA55" s="7" t="s">
        <v>679</v>
      </c>
      <c r="AB55" s="7" t="s">
        <v>679</v>
      </c>
      <c r="AC55" s="7" t="s">
        <v>164</v>
      </c>
      <c r="AD55" s="7" t="s">
        <v>680</v>
      </c>
      <c r="AE55" s="7" t="s">
        <v>58</v>
      </c>
      <c r="AF55" s="7" t="s">
        <v>134</v>
      </c>
      <c r="AG55" s="7"/>
      <c r="AH55" s="7"/>
    </row>
    <row r="56" customFormat="false" ht="23.85" hidden="false" customHeight="false" outlineLevel="0" collapsed="false">
      <c r="A56" s="7" t="s">
        <v>681</v>
      </c>
      <c r="B56" s="7" t="s">
        <v>682</v>
      </c>
      <c r="C56" s="7" t="s">
        <v>683</v>
      </c>
      <c r="D56" s="7" t="s">
        <v>684</v>
      </c>
      <c r="E56" s="7" t="s">
        <v>685</v>
      </c>
      <c r="F56" s="7" t="s">
        <v>686</v>
      </c>
      <c r="G56" s="7" t="s">
        <v>687</v>
      </c>
      <c r="H56" s="7" t="s">
        <v>120</v>
      </c>
      <c r="I56" s="7" t="s">
        <v>343</v>
      </c>
      <c r="J56" s="8" t="n">
        <v>5</v>
      </c>
      <c r="K56" s="8" t="n">
        <v>5</v>
      </c>
      <c r="L56" s="8" t="n">
        <v>2</v>
      </c>
      <c r="M56" s="8" t="n">
        <v>2</v>
      </c>
      <c r="N56" s="9" t="n">
        <f aca="false">ROUND(K56/5*3+L56/5*2.5+J56/5*2+M56/5*2.5,1)</f>
        <v>7</v>
      </c>
      <c r="O56" s="10" t="n">
        <v>220000</v>
      </c>
      <c r="P56" s="10" t="n">
        <v>220000</v>
      </c>
      <c r="Q56" s="10" t="n">
        <v>220000</v>
      </c>
      <c r="R56" s="7" t="str">
        <f aca="false">IF(Q56="","(n/a)",IF(Q56&lt;=250000,"Small",IF(Q56&lt;=1500000,"Medium",IF(Q56&lt;=10000000,"Large","Mega"))))</f>
        <v>Small</v>
      </c>
      <c r="S56" s="7" t="s">
        <v>122</v>
      </c>
      <c r="T56" s="7" t="s">
        <v>688</v>
      </c>
      <c r="U56" s="7" t="s">
        <v>143</v>
      </c>
      <c r="V56" s="7" t="s">
        <v>689</v>
      </c>
      <c r="W56" s="7" t="s">
        <v>690</v>
      </c>
      <c r="X56" s="14" t="s">
        <v>639</v>
      </c>
      <c r="Y56" s="7" t="s">
        <v>691</v>
      </c>
      <c r="Z56" s="7" t="s">
        <v>692</v>
      </c>
      <c r="AA56" s="7" t="s">
        <v>693</v>
      </c>
      <c r="AB56" s="7" t="s">
        <v>694</v>
      </c>
      <c r="AC56" s="7" t="s">
        <v>164</v>
      </c>
      <c r="AD56" s="7" t="s">
        <v>695</v>
      </c>
      <c r="AE56" s="7" t="s">
        <v>58</v>
      </c>
      <c r="AF56" s="7" t="s">
        <v>134</v>
      </c>
      <c r="AG56" s="7"/>
      <c r="AH56" s="7"/>
    </row>
    <row r="57" customFormat="false" ht="57.45" hidden="false" customHeight="false" outlineLevel="0" collapsed="false">
      <c r="A57" s="7" t="s">
        <v>696</v>
      </c>
      <c r="B57" s="7" t="s">
        <v>697</v>
      </c>
      <c r="C57" s="7" t="s">
        <v>698</v>
      </c>
      <c r="D57" s="7" t="s">
        <v>699</v>
      </c>
      <c r="E57" s="7" t="s">
        <v>700</v>
      </c>
      <c r="F57" s="7" t="s">
        <v>141</v>
      </c>
      <c r="G57" s="7" t="s">
        <v>701</v>
      </c>
      <c r="H57" s="7" t="s">
        <v>702</v>
      </c>
      <c r="I57" s="7" t="s">
        <v>343</v>
      </c>
      <c r="J57" s="8" t="n">
        <v>3</v>
      </c>
      <c r="K57" s="8" t="n">
        <v>4</v>
      </c>
      <c r="L57" s="8" t="n">
        <v>5</v>
      </c>
      <c r="M57" s="8" t="n">
        <v>3</v>
      </c>
      <c r="N57" s="9" t="n">
        <f aca="false">ROUND(K57/5*3+L57/5*2.5+J57/5*2+M57/5*2.5,1)</f>
        <v>7.6</v>
      </c>
      <c r="O57" s="10" t="n">
        <v>1000000</v>
      </c>
      <c r="P57" s="10" t="n">
        <v>8000000</v>
      </c>
      <c r="Q57" s="10" t="n">
        <v>6000000</v>
      </c>
      <c r="R57" s="7" t="str">
        <f aca="false">IF(Q57="","(n/a)",IF(Q57&lt;=250000,"Small",IF(Q57&lt;=1500000,"Medium",IF(Q57&lt;=10000000,"Large","Mega"))))</f>
        <v>Large</v>
      </c>
      <c r="S57" s="7" t="s">
        <v>344</v>
      </c>
      <c r="T57" s="7" t="s">
        <v>703</v>
      </c>
      <c r="U57" s="7" t="s">
        <v>143</v>
      </c>
      <c r="V57" s="7" t="s">
        <v>704</v>
      </c>
      <c r="W57" s="7" t="s">
        <v>145</v>
      </c>
      <c r="X57" s="14" t="s">
        <v>639</v>
      </c>
      <c r="Y57" s="7" t="s">
        <v>705</v>
      </c>
      <c r="Z57" s="7" t="s">
        <v>706</v>
      </c>
      <c r="AA57" s="7" t="s">
        <v>707</v>
      </c>
      <c r="AB57" s="7" t="s">
        <v>708</v>
      </c>
      <c r="AC57" s="7" t="s">
        <v>709</v>
      </c>
      <c r="AD57" s="7" t="s">
        <v>710</v>
      </c>
      <c r="AE57" s="7" t="s">
        <v>60</v>
      </c>
      <c r="AF57" s="7" t="s">
        <v>166</v>
      </c>
      <c r="AG57" s="7" t="s">
        <v>711</v>
      </c>
      <c r="AH57" s="7" t="s">
        <v>712</v>
      </c>
    </row>
    <row r="58" customFormat="false" ht="23.85" hidden="false" customHeight="false" outlineLevel="0" collapsed="false">
      <c r="A58" s="7" t="s">
        <v>713</v>
      </c>
      <c r="B58" s="7" t="s">
        <v>714</v>
      </c>
      <c r="C58" s="7" t="s">
        <v>715</v>
      </c>
      <c r="D58" s="7" t="s">
        <v>299</v>
      </c>
      <c r="E58" s="7" t="s">
        <v>716</v>
      </c>
      <c r="F58" s="7" t="s">
        <v>141</v>
      </c>
      <c r="G58" s="7" t="s">
        <v>119</v>
      </c>
      <c r="H58" s="7" t="s">
        <v>717</v>
      </c>
      <c r="I58" s="7" t="s">
        <v>121</v>
      </c>
      <c r="J58" s="8" t="n">
        <v>3</v>
      </c>
      <c r="K58" s="8" t="n">
        <v>4</v>
      </c>
      <c r="L58" s="8" t="n">
        <v>4</v>
      </c>
      <c r="M58" s="8" t="n">
        <v>4</v>
      </c>
      <c r="N58" s="9" t="n">
        <f aca="false">ROUND(K58/5*3+L58/5*2.5+J58/5*2+M58/5*2.5,1)</f>
        <v>7.6</v>
      </c>
      <c r="O58" s="10" t="n">
        <v>100000</v>
      </c>
      <c r="P58" s="10" t="n">
        <v>2000000</v>
      </c>
      <c r="Q58" s="10" t="n">
        <v>1000000</v>
      </c>
      <c r="R58" s="7" t="str">
        <f aca="false">IF(Q58="","(n/a)",IF(Q58&lt;=250000,"Small",IF(Q58&lt;=1500000,"Medium",IF(Q58&lt;=10000000,"Large","Mega"))))</f>
        <v>Medium</v>
      </c>
      <c r="S58" s="7" t="s">
        <v>359</v>
      </c>
      <c r="T58" s="7" t="s">
        <v>718</v>
      </c>
      <c r="U58" s="7" t="s">
        <v>143</v>
      </c>
      <c r="V58" s="7" t="s">
        <v>719</v>
      </c>
      <c r="W58" s="7" t="s">
        <v>173</v>
      </c>
      <c r="X58" s="14" t="s">
        <v>639</v>
      </c>
      <c r="Y58" s="7" t="s">
        <v>234</v>
      </c>
      <c r="Z58" s="7" t="s">
        <v>720</v>
      </c>
      <c r="AA58" s="7" t="s">
        <v>721</v>
      </c>
      <c r="AB58" s="7" t="s">
        <v>722</v>
      </c>
      <c r="AC58" s="7" t="s">
        <v>164</v>
      </c>
      <c r="AD58" s="7" t="s">
        <v>723</v>
      </c>
      <c r="AE58" s="7" t="s">
        <v>58</v>
      </c>
      <c r="AF58" s="7" t="s">
        <v>166</v>
      </c>
      <c r="AG58" s="7"/>
      <c r="AH58" s="7"/>
    </row>
    <row r="59" customFormat="false" ht="23.85" hidden="false" customHeight="false" outlineLevel="0" collapsed="false">
      <c r="A59" s="7" t="s">
        <v>724</v>
      </c>
      <c r="B59" s="7" t="s">
        <v>725</v>
      </c>
      <c r="C59" s="7" t="s">
        <v>726</v>
      </c>
      <c r="D59" s="7" t="s">
        <v>299</v>
      </c>
      <c r="E59" s="7" t="s">
        <v>727</v>
      </c>
      <c r="F59" s="7" t="s">
        <v>141</v>
      </c>
      <c r="G59" s="7" t="s">
        <v>728</v>
      </c>
      <c r="H59" s="7" t="s">
        <v>188</v>
      </c>
      <c r="I59" s="7" t="s">
        <v>343</v>
      </c>
      <c r="J59" s="8" t="n">
        <v>5</v>
      </c>
      <c r="K59" s="8" t="n">
        <v>3</v>
      </c>
      <c r="L59" s="8" t="n">
        <v>4</v>
      </c>
      <c r="M59" s="8" t="n">
        <v>2</v>
      </c>
      <c r="N59" s="9" t="n">
        <f aca="false">ROUND(K59/5*3+L59/5*2.5+J59/5*2+M59/5*2.5,1)</f>
        <v>6.8</v>
      </c>
      <c r="O59" s="10" t="n">
        <v>400000</v>
      </c>
      <c r="P59" s="10" t="n">
        <v>2500000</v>
      </c>
      <c r="Q59" s="10" t="n">
        <v>500000</v>
      </c>
      <c r="R59" s="7" t="str">
        <f aca="false">IF(Q59="","(n/a)",IF(Q59&lt;=250000,"Small",IF(Q59&lt;=1500000,"Medium",IF(Q59&lt;=10000000,"Large","Mega"))))</f>
        <v>Medium</v>
      </c>
      <c r="S59" s="7" t="s">
        <v>344</v>
      </c>
      <c r="T59" s="7" t="s">
        <v>729</v>
      </c>
      <c r="U59" s="7" t="s">
        <v>143</v>
      </c>
      <c r="V59" s="7" t="s">
        <v>730</v>
      </c>
      <c r="W59" s="7" t="s">
        <v>731</v>
      </c>
      <c r="X59" s="14" t="s">
        <v>639</v>
      </c>
      <c r="Y59" s="7" t="s">
        <v>732</v>
      </c>
      <c r="Z59" s="7" t="s">
        <v>234</v>
      </c>
      <c r="AA59" s="7" t="s">
        <v>733</v>
      </c>
      <c r="AB59" s="7" t="s">
        <v>733</v>
      </c>
      <c r="AC59" s="7" t="s">
        <v>164</v>
      </c>
      <c r="AD59" s="7" t="s">
        <v>734</v>
      </c>
      <c r="AE59" s="7" t="s">
        <v>60</v>
      </c>
      <c r="AF59" s="7" t="s">
        <v>546</v>
      </c>
      <c r="AG59" s="7"/>
      <c r="AH59" s="7"/>
    </row>
    <row r="60" customFormat="false" ht="23.85" hidden="false" customHeight="false" outlineLevel="0" collapsed="false">
      <c r="A60" s="7" t="s">
        <v>735</v>
      </c>
      <c r="B60" s="7" t="s">
        <v>736</v>
      </c>
      <c r="C60" s="7" t="s">
        <v>737</v>
      </c>
      <c r="D60" s="7" t="s">
        <v>299</v>
      </c>
      <c r="E60" s="7" t="s">
        <v>341</v>
      </c>
      <c r="F60" s="7" t="s">
        <v>141</v>
      </c>
      <c r="G60" s="7" t="s">
        <v>119</v>
      </c>
      <c r="H60" s="7" t="s">
        <v>301</v>
      </c>
      <c r="I60" s="7" t="s">
        <v>121</v>
      </c>
      <c r="J60" s="8" t="n">
        <v>2</v>
      </c>
      <c r="K60" s="8" t="n">
        <v>3</v>
      </c>
      <c r="L60" s="8" t="n">
        <v>3</v>
      </c>
      <c r="M60" s="8" t="n">
        <v>3</v>
      </c>
      <c r="N60" s="9" t="n">
        <f aca="false">ROUND(K60/5*3+L60/5*2.5+J60/5*2+M60/5*2.5,1)</f>
        <v>5.6</v>
      </c>
      <c r="O60" s="10" t="n">
        <v>50000</v>
      </c>
      <c r="P60" s="10" t="n">
        <v>5000000</v>
      </c>
      <c r="Q60" s="10" t="n">
        <v>500000</v>
      </c>
      <c r="R60" s="7" t="str">
        <f aca="false">IF(Q60="","(n/a)",IF(Q60&lt;=250000,"Small",IF(Q60&lt;=1500000,"Medium",IF(Q60&lt;=10000000,"Large","Mega"))))</f>
        <v>Medium</v>
      </c>
      <c r="S60" s="7" t="s">
        <v>122</v>
      </c>
      <c r="T60" s="7" t="s">
        <v>738</v>
      </c>
      <c r="U60" s="7" t="s">
        <v>143</v>
      </c>
      <c r="V60" s="7" t="s">
        <v>739</v>
      </c>
      <c r="W60" s="7" t="s">
        <v>126</v>
      </c>
      <c r="X60" s="14" t="s">
        <v>639</v>
      </c>
      <c r="Y60" s="7" t="s">
        <v>740</v>
      </c>
      <c r="Z60" s="7" t="s">
        <v>234</v>
      </c>
      <c r="AA60" s="7" t="s">
        <v>741</v>
      </c>
      <c r="AB60" s="7" t="s">
        <v>741</v>
      </c>
      <c r="AC60" s="7" t="s">
        <v>164</v>
      </c>
      <c r="AD60" s="7" t="s">
        <v>742</v>
      </c>
      <c r="AE60" s="7" t="s">
        <v>58</v>
      </c>
      <c r="AF60" s="7" t="s">
        <v>134</v>
      </c>
      <c r="AG60" s="7"/>
      <c r="AH60" s="7"/>
    </row>
    <row r="61" customFormat="false" ht="35.05" hidden="false" customHeight="false" outlineLevel="0" collapsed="false">
      <c r="A61" s="7" t="s">
        <v>743</v>
      </c>
      <c r="B61" s="7" t="s">
        <v>744</v>
      </c>
      <c r="C61" s="7" t="s">
        <v>745</v>
      </c>
      <c r="D61" s="7" t="s">
        <v>299</v>
      </c>
      <c r="E61" s="7" t="s">
        <v>341</v>
      </c>
      <c r="F61" s="7" t="s">
        <v>141</v>
      </c>
      <c r="G61" s="7" t="s">
        <v>119</v>
      </c>
      <c r="H61" s="7" t="s">
        <v>301</v>
      </c>
      <c r="I61" s="7" t="s">
        <v>343</v>
      </c>
      <c r="J61" s="8" t="n">
        <v>3</v>
      </c>
      <c r="K61" s="8" t="n">
        <v>4</v>
      </c>
      <c r="L61" s="8" t="n">
        <v>4</v>
      </c>
      <c r="M61" s="8" t="n">
        <v>3</v>
      </c>
      <c r="N61" s="9" t="n">
        <f aca="false">ROUND(K61/5*3+L61/5*2.5+J61/5*2+M61/5*2.5,1)</f>
        <v>7.1</v>
      </c>
      <c r="O61" s="10" t="n">
        <v>500000</v>
      </c>
      <c r="P61" s="10" t="n">
        <v>5000000</v>
      </c>
      <c r="Q61" s="10" t="n">
        <v>2000000</v>
      </c>
      <c r="R61" s="7" t="str">
        <f aca="false">IF(Q61="","(n/a)",IF(Q61&lt;=250000,"Small",IF(Q61&lt;=1500000,"Medium",IF(Q61&lt;=10000000,"Large","Mega"))))</f>
        <v>Large</v>
      </c>
      <c r="S61" s="7" t="s">
        <v>344</v>
      </c>
      <c r="T61" s="7" t="s">
        <v>746</v>
      </c>
      <c r="U61" s="7" t="s">
        <v>143</v>
      </c>
      <c r="V61" s="7" t="s">
        <v>747</v>
      </c>
      <c r="W61" s="7" t="s">
        <v>731</v>
      </c>
      <c r="X61" s="14" t="s">
        <v>639</v>
      </c>
      <c r="Y61" s="7" t="s">
        <v>748</v>
      </c>
      <c r="Z61" s="7" t="s">
        <v>749</v>
      </c>
      <c r="AA61" s="7" t="s">
        <v>750</v>
      </c>
      <c r="AB61" s="7" t="s">
        <v>751</v>
      </c>
      <c r="AC61" s="7" t="s">
        <v>164</v>
      </c>
      <c r="AD61" s="7" t="s">
        <v>752</v>
      </c>
      <c r="AE61" s="7" t="s">
        <v>60</v>
      </c>
      <c r="AF61" s="7" t="s">
        <v>134</v>
      </c>
      <c r="AG61" s="7"/>
      <c r="AH61" s="7"/>
    </row>
    <row r="62" customFormat="false" ht="35.05" hidden="false" customHeight="false" outlineLevel="0" collapsed="false">
      <c r="A62" s="7" t="s">
        <v>753</v>
      </c>
      <c r="B62" s="7" t="s">
        <v>754</v>
      </c>
      <c r="C62" s="7" t="s">
        <v>755</v>
      </c>
      <c r="D62" s="7" t="s">
        <v>299</v>
      </c>
      <c r="E62" s="7" t="s">
        <v>756</v>
      </c>
      <c r="F62" s="7" t="s">
        <v>187</v>
      </c>
      <c r="G62" s="7" t="s">
        <v>757</v>
      </c>
      <c r="H62" s="7" t="s">
        <v>758</v>
      </c>
      <c r="I62" s="7" t="s">
        <v>343</v>
      </c>
      <c r="J62" s="8" t="n">
        <v>4</v>
      </c>
      <c r="K62" s="8" t="n">
        <v>4</v>
      </c>
      <c r="L62" s="8" t="n">
        <v>5</v>
      </c>
      <c r="M62" s="8" t="n">
        <v>1</v>
      </c>
      <c r="N62" s="9" t="n">
        <f aca="false">ROUND(K62/5*3+L62/5*2.5+J62/5*2+M62/5*2.5,1)</f>
        <v>7</v>
      </c>
      <c r="O62" s="10" t="n">
        <v>100000</v>
      </c>
      <c r="P62" s="10" t="n">
        <v>1000000</v>
      </c>
      <c r="Q62" s="10"/>
      <c r="R62" s="7" t="str">
        <f aca="false">IF(Q62="","(n/a)",IF(Q62&lt;=250000,"Small",IF(Q62&lt;=1500000,"Medium",IF(Q62&lt;=10000000,"Large","Mega"))))</f>
        <v>(n/a)</v>
      </c>
      <c r="S62" s="7" t="s">
        <v>759</v>
      </c>
      <c r="T62" s="7" t="s">
        <v>760</v>
      </c>
      <c r="U62" s="7" t="s">
        <v>143</v>
      </c>
      <c r="V62" s="7" t="s">
        <v>761</v>
      </c>
      <c r="W62" s="7" t="s">
        <v>731</v>
      </c>
      <c r="X62" s="15" t="s">
        <v>762</v>
      </c>
      <c r="Y62" s="7" t="s">
        <v>234</v>
      </c>
      <c r="Z62" s="7" t="s">
        <v>763</v>
      </c>
      <c r="AA62" s="7" t="s">
        <v>764</v>
      </c>
      <c r="AB62" s="7" t="s">
        <v>765</v>
      </c>
      <c r="AC62" s="7" t="s">
        <v>164</v>
      </c>
      <c r="AD62" s="7" t="s">
        <v>766</v>
      </c>
      <c r="AE62" s="7" t="s">
        <v>58</v>
      </c>
      <c r="AF62" s="7" t="s">
        <v>134</v>
      </c>
      <c r="AG62" s="7" t="s">
        <v>135</v>
      </c>
      <c r="AH62" s="7" t="s">
        <v>767</v>
      </c>
    </row>
    <row r="63" customFormat="false" ht="35.05" hidden="false" customHeight="false" outlineLevel="0" collapsed="false">
      <c r="A63" s="7" t="s">
        <v>768</v>
      </c>
      <c r="B63" s="7" t="s">
        <v>769</v>
      </c>
      <c r="C63" s="7" t="s">
        <v>770</v>
      </c>
      <c r="D63" s="7" t="s">
        <v>299</v>
      </c>
      <c r="E63" s="7" t="s">
        <v>587</v>
      </c>
      <c r="F63" s="7" t="s">
        <v>141</v>
      </c>
      <c r="G63" s="7" t="s">
        <v>771</v>
      </c>
      <c r="H63" s="7" t="s">
        <v>758</v>
      </c>
      <c r="I63" s="7" t="s">
        <v>343</v>
      </c>
      <c r="J63" s="8" t="n">
        <v>4</v>
      </c>
      <c r="K63" s="8" t="n">
        <v>4</v>
      </c>
      <c r="L63" s="8" t="n">
        <v>5</v>
      </c>
      <c r="M63" s="8" t="n">
        <v>2</v>
      </c>
      <c r="N63" s="9" t="n">
        <f aca="false">ROUND(K63/5*3+L63/5*2.5+J63/5*2+M63/5*2.5,1)</f>
        <v>7.5</v>
      </c>
      <c r="O63" s="10" t="n">
        <v>1000000</v>
      </c>
      <c r="P63" s="10" t="n">
        <v>1000000</v>
      </c>
      <c r="Q63" s="10" t="n">
        <v>1000000</v>
      </c>
      <c r="R63" s="7" t="str">
        <f aca="false">IF(Q63="","(n/a)",IF(Q63&lt;=250000,"Small",IF(Q63&lt;=1500000,"Medium",IF(Q63&lt;=10000000,"Large","Mega"))))</f>
        <v>Medium</v>
      </c>
      <c r="S63" s="7" t="s">
        <v>344</v>
      </c>
      <c r="T63" s="7" t="s">
        <v>772</v>
      </c>
      <c r="U63" s="7" t="s">
        <v>143</v>
      </c>
      <c r="V63" s="7" t="s">
        <v>773</v>
      </c>
      <c r="W63" s="7" t="s">
        <v>731</v>
      </c>
      <c r="X63" s="15" t="s">
        <v>762</v>
      </c>
      <c r="Y63" s="7" t="s">
        <v>392</v>
      </c>
      <c r="Z63" s="7" t="s">
        <v>774</v>
      </c>
      <c r="AA63" s="7" t="s">
        <v>775</v>
      </c>
      <c r="AB63" s="7" t="s">
        <v>776</v>
      </c>
      <c r="AC63" s="7" t="s">
        <v>164</v>
      </c>
      <c r="AD63" s="7" t="s">
        <v>777</v>
      </c>
      <c r="AE63" s="7" t="s">
        <v>58</v>
      </c>
      <c r="AF63" s="7" t="s">
        <v>134</v>
      </c>
      <c r="AG63" s="7"/>
      <c r="AH63" s="7"/>
    </row>
    <row r="64" customFormat="false" ht="23.85" hidden="false" customHeight="false" outlineLevel="0" collapsed="false">
      <c r="A64" s="7" t="s">
        <v>778</v>
      </c>
      <c r="B64" s="7" t="s">
        <v>779</v>
      </c>
      <c r="C64" s="7" t="s">
        <v>430</v>
      </c>
      <c r="D64" s="7" t="s">
        <v>299</v>
      </c>
      <c r="E64" s="7" t="s">
        <v>780</v>
      </c>
      <c r="F64" s="7" t="s">
        <v>141</v>
      </c>
      <c r="G64" s="7" t="s">
        <v>781</v>
      </c>
      <c r="H64" s="7" t="s">
        <v>301</v>
      </c>
      <c r="I64" s="7" t="s">
        <v>343</v>
      </c>
      <c r="J64" s="8" t="n">
        <v>3</v>
      </c>
      <c r="K64" s="8" t="n">
        <v>4</v>
      </c>
      <c r="L64" s="8" t="n">
        <v>4</v>
      </c>
      <c r="M64" s="8" t="n">
        <v>2</v>
      </c>
      <c r="N64" s="9" t="n">
        <f aca="false">ROUND(K64/5*3+L64/5*2.5+J64/5*2+M64/5*2.5,1)</f>
        <v>6.6</v>
      </c>
      <c r="O64" s="10" t="n">
        <v>2000000</v>
      </c>
      <c r="P64" s="10" t="n">
        <v>50000000</v>
      </c>
      <c r="Q64" s="10"/>
      <c r="R64" s="7" t="str">
        <f aca="false">IF(Q64="","(n/a)",IF(Q64&lt;=250000,"Small",IF(Q64&lt;=1500000,"Medium",IF(Q64&lt;=10000000,"Large","Mega"))))</f>
        <v>(n/a)</v>
      </c>
      <c r="S64" s="7" t="s">
        <v>344</v>
      </c>
      <c r="T64" s="7" t="s">
        <v>782</v>
      </c>
      <c r="U64" s="7" t="s">
        <v>143</v>
      </c>
      <c r="V64" s="7" t="s">
        <v>783</v>
      </c>
      <c r="W64" s="7" t="s">
        <v>173</v>
      </c>
      <c r="X64" s="15" t="s">
        <v>762</v>
      </c>
      <c r="Y64" s="7" t="s">
        <v>784</v>
      </c>
      <c r="Z64" s="7" t="s">
        <v>234</v>
      </c>
      <c r="AA64" s="7" t="s">
        <v>785</v>
      </c>
      <c r="AB64" s="7" t="s">
        <v>785</v>
      </c>
      <c r="AC64" s="7" t="s">
        <v>164</v>
      </c>
      <c r="AD64" s="7" t="s">
        <v>786</v>
      </c>
      <c r="AE64" s="7" t="s">
        <v>60</v>
      </c>
      <c r="AF64" s="7" t="s">
        <v>134</v>
      </c>
      <c r="AG64" s="7"/>
      <c r="AH64" s="7"/>
    </row>
    <row r="65" customFormat="false" ht="23.85" hidden="false" customHeight="false" outlineLevel="0" collapsed="false">
      <c r="A65" s="7" t="s">
        <v>787</v>
      </c>
      <c r="B65" s="7" t="s">
        <v>788</v>
      </c>
      <c r="C65" s="7" t="s">
        <v>789</v>
      </c>
      <c r="D65" s="7" t="s">
        <v>340</v>
      </c>
      <c r="E65" s="7" t="s">
        <v>790</v>
      </c>
      <c r="F65" s="7" t="s">
        <v>187</v>
      </c>
      <c r="G65" s="7" t="s">
        <v>791</v>
      </c>
      <c r="H65" s="7" t="s">
        <v>120</v>
      </c>
      <c r="I65" s="7" t="s">
        <v>343</v>
      </c>
      <c r="J65" s="8" t="n">
        <v>2</v>
      </c>
      <c r="K65" s="8" t="n">
        <v>5</v>
      </c>
      <c r="L65" s="8" t="n">
        <v>4</v>
      </c>
      <c r="M65" s="8" t="n">
        <v>2</v>
      </c>
      <c r="N65" s="9" t="n">
        <f aca="false">ROUND(K65/5*3+L65/5*2.5+J65/5*2+M65/5*2.5,1)</f>
        <v>6.8</v>
      </c>
      <c r="O65" s="10"/>
      <c r="P65" s="10"/>
      <c r="Q65" s="10"/>
      <c r="R65" s="7" t="str">
        <f aca="false">IF(Q65="","(n/a)",IF(Q65&lt;=250000,"Small",IF(Q65&lt;=1500000,"Medium",IF(Q65&lt;=10000000,"Large","Mega"))))</f>
        <v>(n/a)</v>
      </c>
      <c r="S65" s="7" t="s">
        <v>759</v>
      </c>
      <c r="T65" s="7" t="s">
        <v>792</v>
      </c>
      <c r="U65" s="7" t="s">
        <v>189</v>
      </c>
      <c r="V65" s="7" t="s">
        <v>793</v>
      </c>
      <c r="W65" s="7" t="s">
        <v>731</v>
      </c>
      <c r="X65" s="15" t="s">
        <v>762</v>
      </c>
      <c r="Y65" s="7" t="s">
        <v>794</v>
      </c>
      <c r="Z65" s="7" t="s">
        <v>795</v>
      </c>
      <c r="AA65" s="7" t="s">
        <v>796</v>
      </c>
      <c r="AB65" s="7" t="s">
        <v>796</v>
      </c>
      <c r="AC65" s="7" t="s">
        <v>164</v>
      </c>
      <c r="AD65" s="7" t="s">
        <v>797</v>
      </c>
      <c r="AE65" s="7" t="s">
        <v>58</v>
      </c>
      <c r="AF65" s="7" t="s">
        <v>134</v>
      </c>
      <c r="AG65" s="7"/>
      <c r="AH65" s="7"/>
    </row>
    <row r="66" customFormat="false" ht="23.85" hidden="false" customHeight="false" outlineLevel="0" collapsed="false">
      <c r="A66" s="7" t="s">
        <v>798</v>
      </c>
      <c r="B66" s="7" t="s">
        <v>799</v>
      </c>
      <c r="C66" s="7" t="s">
        <v>800</v>
      </c>
      <c r="D66" s="7" t="s">
        <v>299</v>
      </c>
      <c r="E66" s="7" t="s">
        <v>801</v>
      </c>
      <c r="F66" s="7" t="s">
        <v>141</v>
      </c>
      <c r="G66" s="7" t="s">
        <v>119</v>
      </c>
      <c r="H66" s="7" t="s">
        <v>120</v>
      </c>
      <c r="I66" s="7" t="s">
        <v>343</v>
      </c>
      <c r="J66" s="8" t="n">
        <v>5</v>
      </c>
      <c r="K66" s="8" t="n">
        <v>1</v>
      </c>
      <c r="L66" s="8" t="n">
        <v>4</v>
      </c>
      <c r="M66" s="8" t="n">
        <v>4</v>
      </c>
      <c r="N66" s="9" t="n">
        <f aca="false">ROUND(K66/5*3+L66/5*2.5+J66/5*2+M66/5*2.5,1)</f>
        <v>6.6</v>
      </c>
      <c r="O66" s="10" t="n">
        <v>100000</v>
      </c>
      <c r="P66" s="10" t="n">
        <v>500000</v>
      </c>
      <c r="Q66" s="10" t="n">
        <v>300000</v>
      </c>
      <c r="R66" s="7" t="str">
        <f aca="false">IF(Q66="","(n/a)",IF(Q66&lt;=250000,"Small",IF(Q66&lt;=1500000,"Medium",IF(Q66&lt;=10000000,"Large","Mega"))))</f>
        <v>Medium</v>
      </c>
      <c r="S66" s="7" t="s">
        <v>344</v>
      </c>
      <c r="T66" s="7" t="s">
        <v>802</v>
      </c>
      <c r="U66" s="7" t="s">
        <v>124</v>
      </c>
      <c r="V66" s="7" t="s">
        <v>803</v>
      </c>
      <c r="W66" s="7" t="s">
        <v>192</v>
      </c>
      <c r="X66" s="15" t="s">
        <v>762</v>
      </c>
      <c r="Y66" s="7" t="s">
        <v>234</v>
      </c>
      <c r="Z66" s="7" t="s">
        <v>804</v>
      </c>
      <c r="AA66" s="7" t="s">
        <v>805</v>
      </c>
      <c r="AB66" s="7" t="s">
        <v>806</v>
      </c>
      <c r="AC66" s="7" t="s">
        <v>197</v>
      </c>
      <c r="AD66" s="7" t="s">
        <v>807</v>
      </c>
      <c r="AE66" s="7" t="s">
        <v>58</v>
      </c>
      <c r="AF66" s="7" t="s">
        <v>134</v>
      </c>
      <c r="AG66" s="7"/>
      <c r="AH66" s="7"/>
    </row>
    <row r="67" customFormat="false" ht="46.25" hidden="false" customHeight="false" outlineLevel="0" collapsed="false">
      <c r="A67" s="7" t="s">
        <v>808</v>
      </c>
      <c r="B67" s="7" t="s">
        <v>809</v>
      </c>
      <c r="C67" s="7" t="s">
        <v>810</v>
      </c>
      <c r="D67" s="7" t="s">
        <v>684</v>
      </c>
      <c r="E67" s="7" t="s">
        <v>811</v>
      </c>
      <c r="F67" s="7" t="s">
        <v>686</v>
      </c>
      <c r="G67" s="7" t="s">
        <v>687</v>
      </c>
      <c r="H67" s="7" t="s">
        <v>301</v>
      </c>
      <c r="I67" s="7" t="s">
        <v>343</v>
      </c>
      <c r="J67" s="8" t="n">
        <v>4</v>
      </c>
      <c r="K67" s="8" t="n">
        <v>4</v>
      </c>
      <c r="L67" s="8" t="n">
        <v>2</v>
      </c>
      <c r="M67" s="8" t="n">
        <v>2</v>
      </c>
      <c r="N67" s="9" t="n">
        <f aca="false">ROUND(K67/5*3+L67/5*2.5+J67/5*2+M67/5*2.5,1)</f>
        <v>6</v>
      </c>
      <c r="O67" s="10" t="n">
        <v>1000000</v>
      </c>
      <c r="P67" s="10" t="n">
        <v>10000000</v>
      </c>
      <c r="Q67" s="10" t="n">
        <v>5000000</v>
      </c>
      <c r="R67" s="7" t="str">
        <f aca="false">IF(Q67="","(n/a)",IF(Q67&lt;=250000,"Small",IF(Q67&lt;=1500000,"Medium",IF(Q67&lt;=10000000,"Large","Mega"))))</f>
        <v>Large</v>
      </c>
      <c r="S67" s="7" t="s">
        <v>189</v>
      </c>
      <c r="T67" s="7" t="s">
        <v>812</v>
      </c>
      <c r="U67" s="7" t="s">
        <v>189</v>
      </c>
      <c r="V67" s="7" t="s">
        <v>813</v>
      </c>
      <c r="W67" s="7" t="s">
        <v>690</v>
      </c>
      <c r="X67" s="15" t="s">
        <v>762</v>
      </c>
      <c r="Y67" s="7" t="s">
        <v>814</v>
      </c>
      <c r="Z67" s="7" t="s">
        <v>234</v>
      </c>
      <c r="AA67" s="7" t="s">
        <v>815</v>
      </c>
      <c r="AB67" s="7" t="s">
        <v>815</v>
      </c>
      <c r="AC67" s="7" t="s">
        <v>164</v>
      </c>
      <c r="AD67" s="7" t="s">
        <v>816</v>
      </c>
      <c r="AE67" s="7" t="s">
        <v>60</v>
      </c>
      <c r="AF67" s="7" t="s">
        <v>546</v>
      </c>
      <c r="AG67" s="7" t="s">
        <v>817</v>
      </c>
      <c r="AH67" s="7" t="s">
        <v>818</v>
      </c>
    </row>
    <row r="68" customFormat="false" ht="23.85" hidden="false" customHeight="false" outlineLevel="0" collapsed="false">
      <c r="A68" s="7" t="s">
        <v>819</v>
      </c>
      <c r="B68" s="7" t="s">
        <v>820</v>
      </c>
      <c r="C68" s="7" t="s">
        <v>646</v>
      </c>
      <c r="D68" s="7" t="s">
        <v>299</v>
      </c>
      <c r="E68" s="7" t="s">
        <v>341</v>
      </c>
      <c r="F68" s="7" t="s">
        <v>141</v>
      </c>
      <c r="G68" s="7" t="s">
        <v>821</v>
      </c>
      <c r="H68" s="7" t="s">
        <v>188</v>
      </c>
      <c r="I68" s="7" t="s">
        <v>343</v>
      </c>
      <c r="J68" s="8" t="n">
        <v>3</v>
      </c>
      <c r="K68" s="8" t="n">
        <v>4</v>
      </c>
      <c r="L68" s="8" t="n">
        <v>4</v>
      </c>
      <c r="M68" s="8" t="n">
        <v>2</v>
      </c>
      <c r="N68" s="9" t="n">
        <f aca="false">ROUND(K68/5*3+L68/5*2.5+J68/5*2+M68/5*2.5,1)</f>
        <v>6.6</v>
      </c>
      <c r="O68" s="10"/>
      <c r="P68" s="10"/>
      <c r="Q68" s="10"/>
      <c r="R68" s="7" t="str">
        <f aca="false">IF(Q68="","(n/a)",IF(Q68&lt;=250000,"Small",IF(Q68&lt;=1500000,"Medium",IF(Q68&lt;=10000000,"Large","Mega"))))</f>
        <v>(n/a)</v>
      </c>
      <c r="S68" s="7" t="s">
        <v>344</v>
      </c>
      <c r="T68" s="7" t="s">
        <v>822</v>
      </c>
      <c r="U68" s="7" t="s">
        <v>143</v>
      </c>
      <c r="V68" s="7" t="s">
        <v>823</v>
      </c>
      <c r="W68" s="7" t="s">
        <v>145</v>
      </c>
      <c r="X68" s="15" t="s">
        <v>762</v>
      </c>
      <c r="Y68" s="7" t="s">
        <v>824</v>
      </c>
      <c r="Z68" s="7" t="s">
        <v>234</v>
      </c>
      <c r="AA68" s="7" t="s">
        <v>825</v>
      </c>
      <c r="AB68" s="7" t="s">
        <v>826</v>
      </c>
      <c r="AC68" s="7" t="s">
        <v>164</v>
      </c>
      <c r="AD68" s="7" t="s">
        <v>827</v>
      </c>
      <c r="AE68" s="7" t="s">
        <v>60</v>
      </c>
      <c r="AF68" s="7" t="s">
        <v>546</v>
      </c>
      <c r="AG68" s="7"/>
      <c r="AH68" s="7"/>
    </row>
    <row r="69" customFormat="false" ht="23.85" hidden="false" customHeight="false" outlineLevel="0" collapsed="false">
      <c r="A69" s="7" t="s">
        <v>828</v>
      </c>
      <c r="B69" s="7" t="s">
        <v>829</v>
      </c>
      <c r="C69" s="7" t="s">
        <v>646</v>
      </c>
      <c r="D69" s="7" t="s">
        <v>299</v>
      </c>
      <c r="E69" s="7" t="s">
        <v>830</v>
      </c>
      <c r="F69" s="7" t="s">
        <v>141</v>
      </c>
      <c r="G69" s="7" t="s">
        <v>119</v>
      </c>
      <c r="H69" s="7" t="s">
        <v>188</v>
      </c>
      <c r="I69" s="7" t="s">
        <v>343</v>
      </c>
      <c r="J69" s="8" t="n">
        <v>2</v>
      </c>
      <c r="K69" s="8" t="n">
        <v>5</v>
      </c>
      <c r="L69" s="8" t="n">
        <v>4</v>
      </c>
      <c r="M69" s="8" t="n">
        <v>2</v>
      </c>
      <c r="N69" s="9" t="n">
        <f aca="false">ROUND(K69/5*3+L69/5*2.5+J69/5*2+M69/5*2.5,1)</f>
        <v>6.8</v>
      </c>
      <c r="O69" s="10" t="n">
        <v>250000</v>
      </c>
      <c r="P69" s="10" t="n">
        <v>1000000</v>
      </c>
      <c r="Q69" s="10" t="n">
        <v>1000000</v>
      </c>
      <c r="R69" s="7" t="str">
        <f aca="false">IF(Q69="","(n/a)",IF(Q69&lt;=250000,"Small",IF(Q69&lt;=1500000,"Medium",IF(Q69&lt;=10000000,"Large","Mega"))))</f>
        <v>Medium</v>
      </c>
      <c r="S69" s="7" t="s">
        <v>122</v>
      </c>
      <c r="T69" s="7" t="s">
        <v>831</v>
      </c>
      <c r="U69" s="7" t="s">
        <v>143</v>
      </c>
      <c r="V69" s="7" t="s">
        <v>832</v>
      </c>
      <c r="W69" s="7" t="s">
        <v>173</v>
      </c>
      <c r="X69" s="15" t="s">
        <v>762</v>
      </c>
      <c r="Y69" s="7" t="s">
        <v>824</v>
      </c>
      <c r="Z69" s="7" t="s">
        <v>234</v>
      </c>
      <c r="AA69" s="7" t="s">
        <v>833</v>
      </c>
      <c r="AB69" s="7" t="s">
        <v>834</v>
      </c>
      <c r="AC69" s="7" t="s">
        <v>164</v>
      </c>
      <c r="AD69" s="7" t="s">
        <v>835</v>
      </c>
      <c r="AE69" s="7" t="s">
        <v>58</v>
      </c>
      <c r="AF69" s="7" t="s">
        <v>134</v>
      </c>
      <c r="AG69" s="7"/>
      <c r="AH69" s="7"/>
    </row>
    <row r="70" customFormat="false" ht="23.85" hidden="false" customHeight="false" outlineLevel="0" collapsed="false">
      <c r="A70" s="7" t="s">
        <v>836</v>
      </c>
      <c r="B70" s="7" t="s">
        <v>837</v>
      </c>
      <c r="C70" s="7" t="s">
        <v>838</v>
      </c>
      <c r="D70" s="7" t="s">
        <v>155</v>
      </c>
      <c r="E70" s="7" t="s">
        <v>839</v>
      </c>
      <c r="F70" s="7" t="s">
        <v>141</v>
      </c>
      <c r="G70" s="7" t="s">
        <v>840</v>
      </c>
      <c r="H70" s="7" t="s">
        <v>841</v>
      </c>
      <c r="I70" s="7" t="s">
        <v>121</v>
      </c>
      <c r="J70" s="8" t="n">
        <v>5</v>
      </c>
      <c r="K70" s="8" t="n">
        <v>4</v>
      </c>
      <c r="L70" s="8" t="n">
        <v>4</v>
      </c>
      <c r="M70" s="8" t="n">
        <v>3</v>
      </c>
      <c r="N70" s="9" t="n">
        <f aca="false">ROUND(K70/5*3+L70/5*2.5+J70/5*2+M70/5*2.5,1)</f>
        <v>7.9</v>
      </c>
      <c r="O70" s="10" t="n">
        <v>50000</v>
      </c>
      <c r="P70" s="10" t="n">
        <v>500000</v>
      </c>
      <c r="Q70" s="10" t="n">
        <v>250000</v>
      </c>
      <c r="R70" s="7" t="str">
        <f aca="false">IF(Q70="","(n/a)",IF(Q70&lt;=250000,"Small",IF(Q70&lt;=1500000,"Medium",IF(Q70&lt;=10000000,"Large","Mega"))))</f>
        <v>Small</v>
      </c>
      <c r="S70" s="7" t="s">
        <v>189</v>
      </c>
      <c r="T70" s="7" t="s">
        <v>842</v>
      </c>
      <c r="U70" s="7" t="s">
        <v>189</v>
      </c>
      <c r="V70" s="7" t="s">
        <v>843</v>
      </c>
      <c r="W70" s="7" t="s">
        <v>126</v>
      </c>
      <c r="X70" s="12" t="s">
        <v>243</v>
      </c>
      <c r="Y70" s="7" t="s">
        <v>844</v>
      </c>
      <c r="Z70" s="7" t="s">
        <v>845</v>
      </c>
      <c r="AA70" s="7" t="s">
        <v>846</v>
      </c>
      <c r="AB70" s="7" t="s">
        <v>846</v>
      </c>
      <c r="AC70" s="7" t="s">
        <v>847</v>
      </c>
      <c r="AD70" s="7" t="s">
        <v>848</v>
      </c>
      <c r="AE70" s="7" t="s">
        <v>60</v>
      </c>
      <c r="AF70" s="7" t="s">
        <v>134</v>
      </c>
      <c r="AG70" s="7" t="s">
        <v>135</v>
      </c>
      <c r="AH70" s="7" t="s">
        <v>849</v>
      </c>
    </row>
    <row r="71" customFormat="false" ht="35.05" hidden="false" customHeight="false" outlineLevel="0" collapsed="false">
      <c r="A71" s="7" t="s">
        <v>850</v>
      </c>
      <c r="B71" s="7" t="s">
        <v>851</v>
      </c>
      <c r="C71" s="7" t="s">
        <v>852</v>
      </c>
      <c r="D71" s="7" t="s">
        <v>155</v>
      </c>
      <c r="E71" s="7" t="s">
        <v>853</v>
      </c>
      <c r="F71" s="7" t="s">
        <v>141</v>
      </c>
      <c r="G71" s="7" t="s">
        <v>854</v>
      </c>
      <c r="H71" s="7" t="s">
        <v>120</v>
      </c>
      <c r="I71" s="7" t="s">
        <v>121</v>
      </c>
      <c r="J71" s="8" t="n">
        <v>5</v>
      </c>
      <c r="K71" s="8" t="n">
        <v>3</v>
      </c>
      <c r="L71" s="8" t="n">
        <v>4</v>
      </c>
      <c r="M71" s="8" t="n">
        <v>4</v>
      </c>
      <c r="N71" s="9" t="n">
        <f aca="false">ROUND(K71/5*3+L71/5*2.5+J71/5*2+M71/5*2.5,1)</f>
        <v>7.8</v>
      </c>
      <c r="O71" s="10" t="n">
        <v>50000</v>
      </c>
      <c r="P71" s="10" t="n">
        <v>500000</v>
      </c>
      <c r="Q71" s="10" t="n">
        <v>250000</v>
      </c>
      <c r="R71" s="7" t="str">
        <f aca="false">IF(Q71="","(n/a)",IF(Q71&lt;=250000,"Small",IF(Q71&lt;=1500000,"Medium",IF(Q71&lt;=10000000,"Large","Mega"))))</f>
        <v>Small</v>
      </c>
      <c r="S71" s="7" t="s">
        <v>189</v>
      </c>
      <c r="T71" s="7" t="s">
        <v>855</v>
      </c>
      <c r="U71" s="7" t="s">
        <v>189</v>
      </c>
      <c r="V71" s="7" t="s">
        <v>856</v>
      </c>
      <c r="W71" s="7" t="s">
        <v>192</v>
      </c>
      <c r="X71" s="12" t="s">
        <v>243</v>
      </c>
      <c r="Y71" s="7" t="s">
        <v>857</v>
      </c>
      <c r="Z71" s="7" t="s">
        <v>858</v>
      </c>
      <c r="AA71" s="7" t="s">
        <v>859</v>
      </c>
      <c r="AB71" s="7" t="s">
        <v>859</v>
      </c>
      <c r="AC71" s="7" t="s">
        <v>847</v>
      </c>
      <c r="AD71" s="7" t="s">
        <v>860</v>
      </c>
      <c r="AE71" s="7" t="s">
        <v>58</v>
      </c>
      <c r="AF71" s="7" t="s">
        <v>134</v>
      </c>
      <c r="AG71" s="7" t="s">
        <v>135</v>
      </c>
      <c r="AH71" s="7" t="s">
        <v>861</v>
      </c>
    </row>
    <row r="72" customFormat="false" ht="23.85" hidden="false" customHeight="false" outlineLevel="0" collapsed="false">
      <c r="A72" s="7" t="s">
        <v>862</v>
      </c>
      <c r="B72" s="7" t="s">
        <v>863</v>
      </c>
      <c r="C72" s="7" t="s">
        <v>838</v>
      </c>
      <c r="D72" s="7" t="s">
        <v>155</v>
      </c>
      <c r="E72" s="7" t="s">
        <v>864</v>
      </c>
      <c r="F72" s="7" t="s">
        <v>865</v>
      </c>
      <c r="G72" s="7" t="s">
        <v>659</v>
      </c>
      <c r="H72" s="7" t="s">
        <v>841</v>
      </c>
      <c r="I72" s="7" t="s">
        <v>343</v>
      </c>
      <c r="J72" s="8" t="n">
        <v>5</v>
      </c>
      <c r="K72" s="8" t="n">
        <v>3</v>
      </c>
      <c r="L72" s="8" t="n">
        <v>3</v>
      </c>
      <c r="M72" s="8" t="n">
        <v>2</v>
      </c>
      <c r="N72" s="9" t="n">
        <f aca="false">ROUND(K72/5*3+L72/5*2.5+J72/5*2+M72/5*2.5,1)</f>
        <v>6.3</v>
      </c>
      <c r="O72" s="10"/>
      <c r="P72" s="10"/>
      <c r="Q72" s="10"/>
      <c r="R72" s="7" t="str">
        <f aca="false">IF(Q72="","(n/a)",IF(Q72&lt;=250000,"Small",IF(Q72&lt;=1500000,"Medium",IF(Q72&lt;=10000000,"Large","Mega"))))</f>
        <v>(n/a)</v>
      </c>
      <c r="S72" s="7" t="s">
        <v>189</v>
      </c>
      <c r="T72" s="7" t="s">
        <v>866</v>
      </c>
      <c r="U72" s="7" t="s">
        <v>189</v>
      </c>
      <c r="V72" s="7" t="s">
        <v>867</v>
      </c>
      <c r="W72" s="7" t="s">
        <v>731</v>
      </c>
      <c r="X72" s="14" t="s">
        <v>639</v>
      </c>
      <c r="Y72" s="7" t="s">
        <v>868</v>
      </c>
      <c r="Z72" s="7" t="s">
        <v>869</v>
      </c>
      <c r="AA72" s="7" t="s">
        <v>870</v>
      </c>
      <c r="AB72" s="7" t="s">
        <v>871</v>
      </c>
      <c r="AC72" s="7" t="s">
        <v>847</v>
      </c>
      <c r="AD72" s="7" t="s">
        <v>872</v>
      </c>
      <c r="AE72" s="7" t="s">
        <v>60</v>
      </c>
      <c r="AF72" s="7" t="s">
        <v>134</v>
      </c>
      <c r="AG72" s="7" t="s">
        <v>135</v>
      </c>
      <c r="AH72" s="7" t="s">
        <v>869</v>
      </c>
    </row>
    <row r="73" customFormat="false" ht="23.85" hidden="false" customHeight="false" outlineLevel="0" collapsed="false">
      <c r="A73" s="7" t="s">
        <v>873</v>
      </c>
      <c r="B73" s="7" t="s">
        <v>874</v>
      </c>
      <c r="C73" s="7" t="s">
        <v>838</v>
      </c>
      <c r="D73" s="7" t="s">
        <v>155</v>
      </c>
      <c r="E73" s="7" t="s">
        <v>156</v>
      </c>
      <c r="F73" s="7" t="s">
        <v>141</v>
      </c>
      <c r="G73" s="7" t="s">
        <v>875</v>
      </c>
      <c r="H73" s="7" t="s">
        <v>301</v>
      </c>
      <c r="I73" s="7" t="s">
        <v>121</v>
      </c>
      <c r="J73" s="8" t="n">
        <v>1</v>
      </c>
      <c r="K73" s="8" t="n">
        <v>4</v>
      </c>
      <c r="L73" s="8" t="n">
        <v>3</v>
      </c>
      <c r="M73" s="8" t="n">
        <v>3</v>
      </c>
      <c r="N73" s="9" t="n">
        <f aca="false">ROUND(K73/5*3+L73/5*2.5+J73/5*2+M73/5*2.5,1)</f>
        <v>5.8</v>
      </c>
      <c r="O73" s="10" t="n">
        <v>5000</v>
      </c>
      <c r="P73" s="10" t="n">
        <v>500000</v>
      </c>
      <c r="Q73" s="10" t="n">
        <v>100000</v>
      </c>
      <c r="R73" s="7" t="str">
        <f aca="false">IF(Q73="","(n/a)",IF(Q73&lt;=250000,"Small",IF(Q73&lt;=1500000,"Medium",IF(Q73&lt;=10000000,"Large","Mega"))))</f>
        <v>Small</v>
      </c>
      <c r="S73" s="7" t="s">
        <v>189</v>
      </c>
      <c r="T73" s="7" t="s">
        <v>876</v>
      </c>
      <c r="U73" s="7" t="s">
        <v>189</v>
      </c>
      <c r="V73" s="7" t="s">
        <v>877</v>
      </c>
      <c r="W73" s="7" t="s">
        <v>192</v>
      </c>
      <c r="X73" s="13" t="s">
        <v>347</v>
      </c>
      <c r="Y73" s="7" t="s">
        <v>234</v>
      </c>
      <c r="Z73" s="7" t="s">
        <v>234</v>
      </c>
      <c r="AA73" s="7" t="s">
        <v>878</v>
      </c>
      <c r="AB73" s="7" t="s">
        <v>879</v>
      </c>
      <c r="AC73" s="7" t="s">
        <v>847</v>
      </c>
      <c r="AD73" s="7" t="s">
        <v>880</v>
      </c>
      <c r="AE73" s="7" t="s">
        <v>60</v>
      </c>
      <c r="AF73" s="7" t="s">
        <v>134</v>
      </c>
      <c r="AG73" s="7" t="s">
        <v>135</v>
      </c>
      <c r="AH73" s="7" t="s">
        <v>234</v>
      </c>
    </row>
    <row r="74" customFormat="false" ht="35.05" hidden="false" customHeight="false" outlineLevel="0" collapsed="false">
      <c r="A74" s="7" t="s">
        <v>881</v>
      </c>
      <c r="B74" s="7" t="s">
        <v>882</v>
      </c>
      <c r="C74" s="7" t="s">
        <v>883</v>
      </c>
      <c r="D74" s="7" t="s">
        <v>155</v>
      </c>
      <c r="E74" s="7" t="s">
        <v>884</v>
      </c>
      <c r="F74" s="7" t="s">
        <v>141</v>
      </c>
      <c r="G74" s="7" t="s">
        <v>119</v>
      </c>
      <c r="H74" s="7" t="s">
        <v>885</v>
      </c>
      <c r="I74" s="7" t="s">
        <v>121</v>
      </c>
      <c r="J74" s="8" t="n">
        <v>4</v>
      </c>
      <c r="K74" s="8" t="n">
        <v>5</v>
      </c>
      <c r="L74" s="8" t="n">
        <v>4</v>
      </c>
      <c r="M74" s="8" t="n">
        <v>4</v>
      </c>
      <c r="N74" s="9" t="n">
        <f aca="false">ROUND(K74/5*3+L74/5*2.5+J74/5*2+M74/5*2.5,1)</f>
        <v>8.6</v>
      </c>
      <c r="O74" s="10" t="n">
        <v>100000</v>
      </c>
      <c r="P74" s="10" t="n">
        <v>100000</v>
      </c>
      <c r="Q74" s="10" t="n">
        <v>100000</v>
      </c>
      <c r="R74" s="7" t="str">
        <f aca="false">IF(Q74="","(n/a)",IF(Q74&lt;=250000,"Small",IF(Q74&lt;=1500000,"Medium",IF(Q74&lt;=10000000,"Large","Mega"))))</f>
        <v>Small</v>
      </c>
      <c r="S74" s="7" t="s">
        <v>359</v>
      </c>
      <c r="T74" s="7" t="s">
        <v>886</v>
      </c>
      <c r="U74" s="7" t="s">
        <v>143</v>
      </c>
      <c r="V74" s="7" t="s">
        <v>887</v>
      </c>
      <c r="W74" s="7" t="s">
        <v>173</v>
      </c>
      <c r="X74" s="13" t="s">
        <v>347</v>
      </c>
      <c r="Y74" s="7" t="s">
        <v>888</v>
      </c>
      <c r="Z74" s="7" t="s">
        <v>889</v>
      </c>
      <c r="AA74" s="7" t="s">
        <v>890</v>
      </c>
      <c r="AB74" s="7" t="s">
        <v>891</v>
      </c>
      <c r="AC74" s="7" t="s">
        <v>197</v>
      </c>
      <c r="AD74" s="7" t="s">
        <v>892</v>
      </c>
      <c r="AE74" s="7" t="s">
        <v>58</v>
      </c>
      <c r="AF74" s="7" t="s">
        <v>134</v>
      </c>
      <c r="AG74" s="7" t="s">
        <v>893</v>
      </c>
      <c r="AH74" s="7" t="s">
        <v>894</v>
      </c>
    </row>
    <row r="75" customFormat="false" ht="57.45" hidden="false" customHeight="false" outlineLevel="0" collapsed="false">
      <c r="A75" s="7" t="s">
        <v>895</v>
      </c>
      <c r="B75" s="7" t="s">
        <v>896</v>
      </c>
      <c r="C75" s="7" t="s">
        <v>897</v>
      </c>
      <c r="D75" s="7" t="s">
        <v>185</v>
      </c>
      <c r="E75" s="7" t="s">
        <v>898</v>
      </c>
      <c r="F75" s="7" t="s">
        <v>187</v>
      </c>
      <c r="G75" s="7" t="s">
        <v>119</v>
      </c>
      <c r="H75" s="7" t="s">
        <v>899</v>
      </c>
      <c r="I75" s="7" t="s">
        <v>121</v>
      </c>
      <c r="J75" s="8" t="n">
        <v>3</v>
      </c>
      <c r="K75" s="8" t="n">
        <v>4</v>
      </c>
      <c r="L75" s="8" t="n">
        <v>4</v>
      </c>
      <c r="M75" s="8" t="n">
        <v>5</v>
      </c>
      <c r="N75" s="9" t="n">
        <f aca="false">ROUND(K75/5*3+L75/5*2.5+J75/5*2+M75/5*2.5,1)</f>
        <v>8.1</v>
      </c>
      <c r="O75" s="10"/>
      <c r="P75" s="10"/>
      <c r="Q75" s="10"/>
      <c r="R75" s="7" t="str">
        <f aca="false">IF(Q75="","(n/a)",IF(Q75&lt;=250000,"Small",IF(Q75&lt;=1500000,"Medium",IF(Q75&lt;=10000000,"Large","Mega"))))</f>
        <v>(n/a)</v>
      </c>
      <c r="S75" s="7" t="s">
        <v>344</v>
      </c>
      <c r="T75" s="7" t="s">
        <v>900</v>
      </c>
      <c r="U75" s="7" t="s">
        <v>143</v>
      </c>
      <c r="V75" s="7" t="s">
        <v>901</v>
      </c>
      <c r="W75" s="7" t="s">
        <v>192</v>
      </c>
      <c r="X75" s="13" t="s">
        <v>347</v>
      </c>
      <c r="Y75" s="7" t="s">
        <v>902</v>
      </c>
      <c r="Z75" s="7" t="s">
        <v>903</v>
      </c>
      <c r="AA75" s="7" t="s">
        <v>904</v>
      </c>
      <c r="AB75" s="7" t="s">
        <v>904</v>
      </c>
      <c r="AC75" s="7" t="s">
        <v>197</v>
      </c>
      <c r="AD75" s="7" t="s">
        <v>905</v>
      </c>
      <c r="AE75" s="7" t="s">
        <v>58</v>
      </c>
      <c r="AF75" s="7" t="s">
        <v>134</v>
      </c>
      <c r="AG75" s="7" t="s">
        <v>906</v>
      </c>
      <c r="AH75" s="7" t="s">
        <v>907</v>
      </c>
    </row>
    <row r="76" customFormat="false" ht="23.85" hidden="false" customHeight="false" outlineLevel="0" collapsed="false">
      <c r="A76" s="7" t="s">
        <v>908</v>
      </c>
      <c r="B76" s="7" t="s">
        <v>909</v>
      </c>
      <c r="C76" s="7" t="s">
        <v>910</v>
      </c>
      <c r="D76" s="7" t="s">
        <v>155</v>
      </c>
      <c r="E76" s="7" t="s">
        <v>911</v>
      </c>
      <c r="F76" s="7" t="s">
        <v>686</v>
      </c>
      <c r="G76" s="7" t="s">
        <v>659</v>
      </c>
      <c r="H76" s="7" t="s">
        <v>301</v>
      </c>
      <c r="I76" s="7" t="s">
        <v>343</v>
      </c>
      <c r="J76" s="8" t="n">
        <v>5</v>
      </c>
      <c r="K76" s="8" t="n">
        <v>4</v>
      </c>
      <c r="L76" s="8" t="n">
        <v>3</v>
      </c>
      <c r="M76" s="8" t="n">
        <v>2</v>
      </c>
      <c r="N76" s="9" t="n">
        <f aca="false">ROUND(K76/5*3+L76/5*2.5+J76/5*2+M76/5*2.5,1)</f>
        <v>6.9</v>
      </c>
      <c r="O76" s="10"/>
      <c r="P76" s="10"/>
      <c r="Q76" s="10"/>
      <c r="R76" s="7" t="str">
        <f aca="false">IF(Q76="","(n/a)",IF(Q76&lt;=250000,"Small",IF(Q76&lt;=1500000,"Medium",IF(Q76&lt;=10000000,"Large","Mega"))))</f>
        <v>(n/a)</v>
      </c>
      <c r="S76" s="7" t="s">
        <v>189</v>
      </c>
      <c r="T76" s="7" t="s">
        <v>912</v>
      </c>
      <c r="U76" s="7" t="s">
        <v>189</v>
      </c>
      <c r="V76" s="7" t="s">
        <v>913</v>
      </c>
      <c r="W76" s="7" t="s">
        <v>192</v>
      </c>
      <c r="X76" s="14" t="s">
        <v>639</v>
      </c>
      <c r="Y76" s="7" t="s">
        <v>914</v>
      </c>
      <c r="Z76" s="7" t="s">
        <v>915</v>
      </c>
      <c r="AA76" s="7" t="s">
        <v>916</v>
      </c>
      <c r="AB76" s="7" t="s">
        <v>917</v>
      </c>
      <c r="AC76" s="7" t="s">
        <v>847</v>
      </c>
      <c r="AD76" s="7" t="s">
        <v>918</v>
      </c>
      <c r="AE76" s="7" t="s">
        <v>58</v>
      </c>
      <c r="AF76" s="7" t="s">
        <v>134</v>
      </c>
      <c r="AG76" s="7" t="s">
        <v>135</v>
      </c>
      <c r="AH76" s="7" t="s">
        <v>915</v>
      </c>
    </row>
    <row r="77" customFormat="false" ht="23.85" hidden="false" customHeight="false" outlineLevel="0" collapsed="false">
      <c r="A77" s="7" t="s">
        <v>919</v>
      </c>
      <c r="B77" s="7" t="s">
        <v>920</v>
      </c>
      <c r="C77" s="7" t="s">
        <v>910</v>
      </c>
      <c r="D77" s="7" t="s">
        <v>155</v>
      </c>
      <c r="E77" s="7" t="s">
        <v>921</v>
      </c>
      <c r="F77" s="7" t="s">
        <v>865</v>
      </c>
      <c r="G77" s="7" t="s">
        <v>922</v>
      </c>
      <c r="H77" s="7" t="s">
        <v>301</v>
      </c>
      <c r="I77" s="7" t="s">
        <v>343</v>
      </c>
      <c r="J77" s="8" t="n">
        <v>5</v>
      </c>
      <c r="K77" s="8" t="n">
        <v>4</v>
      </c>
      <c r="L77" s="8" t="n">
        <v>3</v>
      </c>
      <c r="M77" s="8" t="n">
        <v>3</v>
      </c>
      <c r="N77" s="9" t="n">
        <f aca="false">ROUND(K77/5*3+L77/5*2.5+J77/5*2+M77/5*2.5,1)</f>
        <v>7.4</v>
      </c>
      <c r="O77" s="10" t="n">
        <v>500000</v>
      </c>
      <c r="P77" s="10" t="n">
        <v>5000000</v>
      </c>
      <c r="Q77" s="10" t="n">
        <v>1000000</v>
      </c>
      <c r="R77" s="7" t="str">
        <f aca="false">IF(Q77="","(n/a)",IF(Q77&lt;=250000,"Small",IF(Q77&lt;=1500000,"Medium",IF(Q77&lt;=10000000,"Large","Mega"))))</f>
        <v>Medium</v>
      </c>
      <c r="S77" s="7" t="s">
        <v>189</v>
      </c>
      <c r="T77" s="7" t="s">
        <v>923</v>
      </c>
      <c r="U77" s="7" t="s">
        <v>189</v>
      </c>
      <c r="V77" s="7" t="s">
        <v>924</v>
      </c>
      <c r="W77" s="7" t="s">
        <v>192</v>
      </c>
      <c r="X77" s="14" t="s">
        <v>639</v>
      </c>
      <c r="Y77" s="7" t="s">
        <v>925</v>
      </c>
      <c r="Z77" s="7" t="s">
        <v>234</v>
      </c>
      <c r="AA77" s="7" t="s">
        <v>926</v>
      </c>
      <c r="AB77" s="7" t="s">
        <v>927</v>
      </c>
      <c r="AC77" s="7" t="s">
        <v>847</v>
      </c>
      <c r="AD77" s="7" t="s">
        <v>928</v>
      </c>
      <c r="AE77" s="7" t="s">
        <v>60</v>
      </c>
      <c r="AF77" s="7" t="s">
        <v>134</v>
      </c>
      <c r="AG77" s="7" t="s">
        <v>135</v>
      </c>
      <c r="AH77" s="7" t="s">
        <v>929</v>
      </c>
    </row>
    <row r="78" customFormat="false" ht="46.25" hidden="false" customHeight="false" outlineLevel="0" collapsed="false">
      <c r="A78" s="7" t="s">
        <v>930</v>
      </c>
      <c r="B78" s="7" t="s">
        <v>931</v>
      </c>
      <c r="C78" s="7" t="s">
        <v>932</v>
      </c>
      <c r="D78" s="7" t="s">
        <v>340</v>
      </c>
      <c r="E78" s="7" t="s">
        <v>341</v>
      </c>
      <c r="F78" s="7" t="s">
        <v>141</v>
      </c>
      <c r="G78" s="7" t="s">
        <v>933</v>
      </c>
      <c r="H78" s="7" t="s">
        <v>934</v>
      </c>
      <c r="I78" s="7" t="s">
        <v>343</v>
      </c>
      <c r="J78" s="8" t="n">
        <v>2</v>
      </c>
      <c r="K78" s="8" t="n">
        <v>5</v>
      </c>
      <c r="L78" s="8" t="n">
        <v>4</v>
      </c>
      <c r="M78" s="8" t="n">
        <v>3</v>
      </c>
      <c r="N78" s="9" t="n">
        <f aca="false">ROUND(K78/5*3+L78/5*2.5+J78/5*2+M78/5*2.5,1)</f>
        <v>7.3</v>
      </c>
      <c r="O78" s="10" t="n">
        <v>90000</v>
      </c>
      <c r="P78" s="10" t="n">
        <v>180000</v>
      </c>
      <c r="Q78" s="10" t="n">
        <v>180000</v>
      </c>
      <c r="R78" s="7" t="str">
        <f aca="false">IF(Q78="","(n/a)",IF(Q78&lt;=250000,"Small",IF(Q78&lt;=1500000,"Medium",IF(Q78&lt;=10000000,"Large","Mega"))))</f>
        <v>Small</v>
      </c>
      <c r="S78" s="7" t="s">
        <v>344</v>
      </c>
      <c r="T78" s="7" t="s">
        <v>935</v>
      </c>
      <c r="U78" s="7" t="s">
        <v>143</v>
      </c>
      <c r="V78" s="7" t="s">
        <v>936</v>
      </c>
      <c r="W78" s="7" t="s">
        <v>173</v>
      </c>
      <c r="X78" s="13" t="s">
        <v>347</v>
      </c>
      <c r="Y78" s="7" t="s">
        <v>937</v>
      </c>
      <c r="Z78" s="7" t="s">
        <v>938</v>
      </c>
      <c r="AA78" s="7" t="s">
        <v>939</v>
      </c>
      <c r="AB78" s="7" t="s">
        <v>939</v>
      </c>
      <c r="AC78" s="7" t="s">
        <v>197</v>
      </c>
      <c r="AD78" s="7" t="s">
        <v>940</v>
      </c>
      <c r="AE78" s="7" t="s">
        <v>58</v>
      </c>
      <c r="AF78" s="7" t="s">
        <v>134</v>
      </c>
      <c r="AG78" s="7" t="s">
        <v>135</v>
      </c>
      <c r="AH78" s="7" t="s">
        <v>941</v>
      </c>
    </row>
    <row r="79" customFormat="false" ht="35.05" hidden="false" customHeight="false" outlineLevel="0" collapsed="false">
      <c r="A79" s="7" t="s">
        <v>942</v>
      </c>
      <c r="B79" s="7" t="s">
        <v>943</v>
      </c>
      <c r="C79" s="7" t="s">
        <v>944</v>
      </c>
      <c r="D79" s="7" t="s">
        <v>299</v>
      </c>
      <c r="E79" s="7" t="s">
        <v>945</v>
      </c>
      <c r="F79" s="7" t="s">
        <v>187</v>
      </c>
      <c r="G79" s="7" t="s">
        <v>791</v>
      </c>
      <c r="H79" s="7" t="s">
        <v>120</v>
      </c>
      <c r="I79" s="7" t="s">
        <v>121</v>
      </c>
      <c r="J79" s="8" t="n">
        <v>2</v>
      </c>
      <c r="K79" s="8" t="n">
        <v>5</v>
      </c>
      <c r="L79" s="8" t="n">
        <v>5</v>
      </c>
      <c r="M79" s="8" t="n">
        <v>3</v>
      </c>
      <c r="N79" s="9" t="n">
        <f aca="false">ROUND(K79/5*3+L79/5*2.5+J79/5*2+M79/5*2.5,1)</f>
        <v>7.8</v>
      </c>
      <c r="O79" s="10"/>
      <c r="P79" s="10"/>
      <c r="Q79" s="10"/>
      <c r="R79" s="7" t="str">
        <f aca="false">IF(Q79="","(n/a)",IF(Q79&lt;=250000,"Small",IF(Q79&lt;=1500000,"Medium",IF(Q79&lt;=10000000,"Large","Mega"))))</f>
        <v>(n/a)</v>
      </c>
      <c r="S79" s="7" t="s">
        <v>189</v>
      </c>
      <c r="T79" s="7" t="s">
        <v>946</v>
      </c>
      <c r="U79" s="7" t="s">
        <v>189</v>
      </c>
      <c r="V79" s="7" t="s">
        <v>947</v>
      </c>
      <c r="W79" s="7" t="s">
        <v>145</v>
      </c>
      <c r="X79" s="13" t="s">
        <v>347</v>
      </c>
      <c r="Y79" s="7" t="s">
        <v>948</v>
      </c>
      <c r="Z79" s="7" t="s">
        <v>234</v>
      </c>
      <c r="AA79" s="7" t="s">
        <v>949</v>
      </c>
      <c r="AB79" s="7" t="s">
        <v>950</v>
      </c>
      <c r="AC79" s="7" t="s">
        <v>164</v>
      </c>
      <c r="AD79" s="7" t="s">
        <v>951</v>
      </c>
      <c r="AE79" s="7" t="s">
        <v>58</v>
      </c>
      <c r="AF79" s="7" t="s">
        <v>134</v>
      </c>
      <c r="AG79" s="7" t="s">
        <v>135</v>
      </c>
      <c r="AH79" s="7" t="s">
        <v>234</v>
      </c>
    </row>
    <row r="80" customFormat="false" ht="23.85" hidden="false" customHeight="false" outlineLevel="0" collapsed="false">
      <c r="A80" s="7" t="s">
        <v>952</v>
      </c>
      <c r="B80" s="7" t="s">
        <v>953</v>
      </c>
      <c r="C80" s="7" t="s">
        <v>954</v>
      </c>
      <c r="D80" s="7" t="s">
        <v>299</v>
      </c>
      <c r="E80" s="7" t="s">
        <v>955</v>
      </c>
      <c r="F80" s="7" t="s">
        <v>141</v>
      </c>
      <c r="G80" s="7" t="s">
        <v>956</v>
      </c>
      <c r="H80" s="7" t="s">
        <v>301</v>
      </c>
      <c r="I80" s="7" t="s">
        <v>343</v>
      </c>
      <c r="J80" s="8" t="n">
        <v>1</v>
      </c>
      <c r="K80" s="8" t="n">
        <v>4</v>
      </c>
      <c r="L80" s="8" t="n">
        <v>4</v>
      </c>
      <c r="M80" s="8" t="n">
        <v>2</v>
      </c>
      <c r="N80" s="9" t="n">
        <f aca="false">ROUND(K80/5*3+L80/5*2.5+J80/5*2+M80/5*2.5,1)</f>
        <v>5.8</v>
      </c>
      <c r="O80" s="10"/>
      <c r="P80" s="10" t="n">
        <v>2000000</v>
      </c>
      <c r="Q80" s="10" t="n">
        <v>2000000</v>
      </c>
      <c r="R80" s="7" t="str">
        <f aca="false">IF(Q80="","(n/a)",IF(Q80&lt;=250000,"Small",IF(Q80&lt;=1500000,"Medium",IF(Q80&lt;=10000000,"Large","Mega"))))</f>
        <v>Large</v>
      </c>
      <c r="S80" s="7" t="s">
        <v>122</v>
      </c>
      <c r="T80" s="7" t="s">
        <v>957</v>
      </c>
      <c r="U80" s="7" t="s">
        <v>143</v>
      </c>
      <c r="V80" s="7" t="s">
        <v>958</v>
      </c>
      <c r="W80" s="7" t="s">
        <v>173</v>
      </c>
      <c r="X80" s="15" t="s">
        <v>762</v>
      </c>
      <c r="Y80" s="7" t="s">
        <v>234</v>
      </c>
      <c r="Z80" s="7" t="s">
        <v>234</v>
      </c>
      <c r="AA80" s="7" t="s">
        <v>959</v>
      </c>
      <c r="AB80" s="7" t="s">
        <v>960</v>
      </c>
      <c r="AC80" s="7" t="s">
        <v>164</v>
      </c>
      <c r="AD80" s="7" t="s">
        <v>961</v>
      </c>
      <c r="AE80" s="7" t="s">
        <v>58</v>
      </c>
      <c r="AF80" s="7" t="s">
        <v>134</v>
      </c>
      <c r="AG80" s="7" t="s">
        <v>135</v>
      </c>
      <c r="AH80" s="7" t="s">
        <v>234</v>
      </c>
    </row>
    <row r="81" customFormat="false" ht="23.85" hidden="false" customHeight="false" outlineLevel="0" collapsed="false">
      <c r="A81" s="7" t="s">
        <v>962</v>
      </c>
      <c r="B81" s="7" t="s">
        <v>963</v>
      </c>
      <c r="C81" s="7" t="s">
        <v>964</v>
      </c>
      <c r="D81" s="7" t="s">
        <v>340</v>
      </c>
      <c r="E81" s="7" t="s">
        <v>965</v>
      </c>
      <c r="F81" s="7" t="s">
        <v>187</v>
      </c>
      <c r="G81" s="7" t="s">
        <v>966</v>
      </c>
      <c r="H81" s="7" t="s">
        <v>967</v>
      </c>
      <c r="I81" s="7" t="s">
        <v>343</v>
      </c>
      <c r="J81" s="8" t="n">
        <v>0</v>
      </c>
      <c r="K81" s="8" t="n">
        <v>5</v>
      </c>
      <c r="L81" s="8" t="n">
        <v>5</v>
      </c>
      <c r="M81" s="8" t="n">
        <v>2</v>
      </c>
      <c r="N81" s="9" t="n">
        <f aca="false">ROUND(K81/5*3+L81/5*2.5+J81/5*2+M81/5*2.5,1)</f>
        <v>6.5</v>
      </c>
      <c r="O81" s="10"/>
      <c r="P81" s="10"/>
      <c r="Q81" s="10"/>
      <c r="R81" s="7" t="str">
        <f aca="false">IF(Q81="","(n/a)",IF(Q81&lt;=250000,"Small",IF(Q81&lt;=1500000,"Medium",IF(Q81&lt;=10000000,"Large","Mega"))))</f>
        <v>(n/a)</v>
      </c>
      <c r="S81" s="7" t="s">
        <v>189</v>
      </c>
      <c r="T81" s="7" t="s">
        <v>968</v>
      </c>
      <c r="U81" s="7" t="s">
        <v>189</v>
      </c>
      <c r="V81" s="7" t="s">
        <v>969</v>
      </c>
      <c r="W81" s="7" t="s">
        <v>192</v>
      </c>
      <c r="X81" s="15" t="s">
        <v>762</v>
      </c>
      <c r="Y81" s="7" t="s">
        <v>932</v>
      </c>
      <c r="Z81" s="7" t="s">
        <v>970</v>
      </c>
      <c r="AA81" s="7" t="s">
        <v>971</v>
      </c>
      <c r="AB81" s="7" t="s">
        <v>972</v>
      </c>
      <c r="AC81" s="7" t="s">
        <v>197</v>
      </c>
      <c r="AD81" s="7" t="s">
        <v>973</v>
      </c>
      <c r="AE81" s="7" t="s">
        <v>58</v>
      </c>
      <c r="AF81" s="7" t="s">
        <v>134</v>
      </c>
      <c r="AG81" s="7" t="s">
        <v>135</v>
      </c>
      <c r="AH81" s="7" t="s">
        <v>970</v>
      </c>
    </row>
    <row r="82" customFormat="false" ht="23.85" hidden="false" customHeight="false" outlineLevel="0" collapsed="false">
      <c r="A82" s="7" t="s">
        <v>974</v>
      </c>
      <c r="B82" s="7" t="s">
        <v>975</v>
      </c>
      <c r="C82" s="7" t="s">
        <v>976</v>
      </c>
      <c r="D82" s="7" t="s">
        <v>340</v>
      </c>
      <c r="E82" s="7" t="s">
        <v>977</v>
      </c>
      <c r="F82" s="7" t="s">
        <v>141</v>
      </c>
      <c r="G82" s="7" t="s">
        <v>978</v>
      </c>
      <c r="H82" s="7" t="s">
        <v>979</v>
      </c>
      <c r="I82" s="7" t="s">
        <v>121</v>
      </c>
      <c r="J82" s="8" t="n">
        <v>1</v>
      </c>
      <c r="K82" s="8" t="n">
        <v>4</v>
      </c>
      <c r="L82" s="8" t="n">
        <v>3</v>
      </c>
      <c r="M82" s="8" t="n">
        <v>4</v>
      </c>
      <c r="N82" s="9" t="n">
        <f aca="false">ROUND(K82/5*3+L82/5*2.5+J82/5*2+M82/5*2.5,1)</f>
        <v>6.3</v>
      </c>
      <c r="O82" s="10"/>
      <c r="P82" s="10" t="n">
        <v>25000</v>
      </c>
      <c r="Q82" s="10" t="n">
        <v>25000</v>
      </c>
      <c r="R82" s="7" t="str">
        <f aca="false">IF(Q82="","(n/a)",IF(Q82&lt;=250000,"Small",IF(Q82&lt;=1500000,"Medium",IF(Q82&lt;=10000000,"Large","Mega"))))</f>
        <v>Small</v>
      </c>
      <c r="S82" s="7" t="s">
        <v>189</v>
      </c>
      <c r="T82" s="7" t="s">
        <v>980</v>
      </c>
      <c r="U82" s="7" t="s">
        <v>189</v>
      </c>
      <c r="V82" s="7" t="s">
        <v>981</v>
      </c>
      <c r="W82" s="7" t="s">
        <v>192</v>
      </c>
      <c r="X82" s="13" t="s">
        <v>347</v>
      </c>
      <c r="Y82" s="7" t="s">
        <v>234</v>
      </c>
      <c r="Z82" s="7" t="s">
        <v>982</v>
      </c>
      <c r="AA82" s="7" t="s">
        <v>983</v>
      </c>
      <c r="AB82" s="7" t="s">
        <v>983</v>
      </c>
      <c r="AC82" s="7" t="s">
        <v>164</v>
      </c>
      <c r="AD82" s="7" t="s">
        <v>984</v>
      </c>
      <c r="AE82" s="7" t="s">
        <v>58</v>
      </c>
      <c r="AF82" s="7" t="s">
        <v>134</v>
      </c>
      <c r="AG82" s="7" t="s">
        <v>135</v>
      </c>
      <c r="AH82" s="7" t="s">
        <v>985</v>
      </c>
    </row>
    <row r="83" customFormat="false" ht="46.25" hidden="false" customHeight="false" outlineLevel="0" collapsed="false">
      <c r="A83" s="7" t="s">
        <v>986</v>
      </c>
      <c r="B83" s="7" t="s">
        <v>987</v>
      </c>
      <c r="C83" s="7" t="s">
        <v>988</v>
      </c>
      <c r="D83" s="7" t="s">
        <v>989</v>
      </c>
      <c r="E83" s="7" t="s">
        <v>790</v>
      </c>
      <c r="F83" s="7" t="s">
        <v>187</v>
      </c>
      <c r="G83" s="7" t="s">
        <v>791</v>
      </c>
      <c r="H83" s="7" t="s">
        <v>990</v>
      </c>
      <c r="I83" s="7" t="s">
        <v>343</v>
      </c>
      <c r="J83" s="8" t="n">
        <v>5</v>
      </c>
      <c r="K83" s="8" t="n">
        <v>5</v>
      </c>
      <c r="L83" s="8" t="n">
        <v>4</v>
      </c>
      <c r="M83" s="8" t="n">
        <v>2</v>
      </c>
      <c r="N83" s="9" t="n">
        <f aca="false">ROUND(K83/5*3+L83/5*2.5+J83/5*2+M83/5*2.5,1)</f>
        <v>8</v>
      </c>
      <c r="O83" s="10"/>
      <c r="P83" s="10"/>
      <c r="Q83" s="10"/>
      <c r="R83" s="7" t="str">
        <f aca="false">IF(Q83="","(n/a)",IF(Q83&lt;=250000,"Small",IF(Q83&lt;=1500000,"Medium",IF(Q83&lt;=10000000,"Large","Mega"))))</f>
        <v>(n/a)</v>
      </c>
      <c r="S83" s="7" t="s">
        <v>189</v>
      </c>
      <c r="T83" s="7" t="s">
        <v>991</v>
      </c>
      <c r="U83" s="7" t="s">
        <v>189</v>
      </c>
      <c r="V83" s="7" t="s">
        <v>992</v>
      </c>
      <c r="W83" s="7" t="s">
        <v>192</v>
      </c>
      <c r="X83" s="15" t="s">
        <v>762</v>
      </c>
      <c r="Y83" s="7" t="s">
        <v>993</v>
      </c>
      <c r="Z83" s="7" t="s">
        <v>994</v>
      </c>
      <c r="AA83" s="7" t="s">
        <v>995</v>
      </c>
      <c r="AB83" s="7" t="s">
        <v>996</v>
      </c>
      <c r="AC83" s="7" t="s">
        <v>847</v>
      </c>
      <c r="AD83" s="7" t="s">
        <v>997</v>
      </c>
      <c r="AE83" s="7" t="s">
        <v>58</v>
      </c>
      <c r="AF83" s="7" t="s">
        <v>134</v>
      </c>
      <c r="AG83" s="7" t="s">
        <v>135</v>
      </c>
      <c r="AH83" s="7" t="s">
        <v>994</v>
      </c>
    </row>
    <row r="84" customFormat="false" ht="35.05" hidden="false" customHeight="false" outlineLevel="0" collapsed="false">
      <c r="A84" s="7" t="s">
        <v>998</v>
      </c>
      <c r="B84" s="7" t="s">
        <v>999</v>
      </c>
      <c r="C84" s="7" t="s">
        <v>1000</v>
      </c>
      <c r="D84" s="7" t="s">
        <v>340</v>
      </c>
      <c r="E84" s="7" t="s">
        <v>1001</v>
      </c>
      <c r="F84" s="7" t="s">
        <v>187</v>
      </c>
      <c r="G84" s="7" t="s">
        <v>1002</v>
      </c>
      <c r="H84" s="7" t="s">
        <v>120</v>
      </c>
      <c r="I84" s="7" t="s">
        <v>121</v>
      </c>
      <c r="J84" s="8" t="n">
        <v>2</v>
      </c>
      <c r="K84" s="8" t="n">
        <v>5</v>
      </c>
      <c r="L84" s="8" t="n">
        <v>3</v>
      </c>
      <c r="M84" s="8" t="n">
        <v>4</v>
      </c>
      <c r="N84" s="9" t="n">
        <f aca="false">ROUND(K84/5*3+L84/5*2.5+J84/5*2+M84/5*2.5,1)</f>
        <v>7.3</v>
      </c>
      <c r="O84" s="10"/>
      <c r="P84" s="10"/>
      <c r="Q84" s="10"/>
      <c r="R84" s="7" t="str">
        <f aca="false">IF(Q84="","(n/a)",IF(Q84&lt;=250000,"Small",IF(Q84&lt;=1500000,"Medium",IF(Q84&lt;=10000000,"Large","Mega"))))</f>
        <v>(n/a)</v>
      </c>
      <c r="S84" s="7" t="s">
        <v>189</v>
      </c>
      <c r="T84" s="7" t="s">
        <v>1003</v>
      </c>
      <c r="U84" s="7" t="s">
        <v>189</v>
      </c>
      <c r="V84" s="7" t="s">
        <v>1004</v>
      </c>
      <c r="W84" s="7" t="s">
        <v>173</v>
      </c>
      <c r="X84" s="13" t="s">
        <v>347</v>
      </c>
      <c r="Y84" s="7" t="s">
        <v>1005</v>
      </c>
      <c r="Z84" s="7" t="s">
        <v>234</v>
      </c>
      <c r="AA84" s="7" t="s">
        <v>1006</v>
      </c>
      <c r="AB84" s="7" t="s">
        <v>1007</v>
      </c>
      <c r="AC84" s="7" t="s">
        <v>164</v>
      </c>
      <c r="AD84" s="7" t="s">
        <v>1008</v>
      </c>
      <c r="AE84" s="7" t="s">
        <v>58</v>
      </c>
      <c r="AF84" s="7" t="s">
        <v>134</v>
      </c>
      <c r="AG84" s="7" t="s">
        <v>135</v>
      </c>
      <c r="AH84" s="7" t="s">
        <v>234</v>
      </c>
    </row>
    <row r="85" customFormat="false" ht="35.05" hidden="false" customHeight="false" outlineLevel="0" collapsed="false">
      <c r="A85" s="7" t="s">
        <v>1009</v>
      </c>
      <c r="B85" s="7" t="s">
        <v>1010</v>
      </c>
      <c r="C85" s="7" t="s">
        <v>1000</v>
      </c>
      <c r="D85" s="7" t="s">
        <v>340</v>
      </c>
      <c r="E85" s="7" t="s">
        <v>1011</v>
      </c>
      <c r="F85" s="7" t="s">
        <v>187</v>
      </c>
      <c r="G85" s="7" t="s">
        <v>1012</v>
      </c>
      <c r="H85" s="7" t="s">
        <v>120</v>
      </c>
      <c r="I85" s="7" t="s">
        <v>343</v>
      </c>
      <c r="J85" s="8" t="n">
        <v>3</v>
      </c>
      <c r="K85" s="8" t="n">
        <v>5</v>
      </c>
      <c r="L85" s="8" t="n">
        <v>3</v>
      </c>
      <c r="M85" s="8" t="n">
        <v>2</v>
      </c>
      <c r="N85" s="9" t="n">
        <f aca="false">ROUND(K85/5*3+L85/5*2.5+J85/5*2+M85/5*2.5,1)</f>
        <v>6.7</v>
      </c>
      <c r="O85" s="10"/>
      <c r="P85" s="10"/>
      <c r="Q85" s="10"/>
      <c r="R85" s="7" t="str">
        <f aca="false">IF(Q85="","(n/a)",IF(Q85&lt;=250000,"Small",IF(Q85&lt;=1500000,"Medium",IF(Q85&lt;=10000000,"Large","Mega"))))</f>
        <v>(n/a)</v>
      </c>
      <c r="S85" s="7" t="s">
        <v>344</v>
      </c>
      <c r="T85" s="7" t="s">
        <v>1013</v>
      </c>
      <c r="U85" s="7" t="s">
        <v>143</v>
      </c>
      <c r="V85" s="7" t="s">
        <v>1014</v>
      </c>
      <c r="W85" s="7" t="s">
        <v>192</v>
      </c>
      <c r="X85" s="15" t="s">
        <v>762</v>
      </c>
      <c r="Y85" s="7" t="s">
        <v>1015</v>
      </c>
      <c r="Z85" s="7" t="s">
        <v>1016</v>
      </c>
      <c r="AA85" s="7" t="s">
        <v>1017</v>
      </c>
      <c r="AB85" s="7" t="s">
        <v>1017</v>
      </c>
      <c r="AC85" s="7" t="s">
        <v>164</v>
      </c>
      <c r="AD85" s="7" t="s">
        <v>1018</v>
      </c>
      <c r="AE85" s="7" t="s">
        <v>60</v>
      </c>
      <c r="AF85" s="7" t="s">
        <v>134</v>
      </c>
      <c r="AG85" s="7" t="s">
        <v>135</v>
      </c>
      <c r="AH85" s="7" t="s">
        <v>1016</v>
      </c>
    </row>
    <row r="86" customFormat="false" ht="35.05" hidden="false" customHeight="false" outlineLevel="0" collapsed="false">
      <c r="A86" s="7" t="s">
        <v>1019</v>
      </c>
      <c r="B86" s="7" t="s">
        <v>1020</v>
      </c>
      <c r="C86" s="7" t="s">
        <v>1000</v>
      </c>
      <c r="D86" s="7" t="s">
        <v>340</v>
      </c>
      <c r="E86" s="7" t="s">
        <v>1021</v>
      </c>
      <c r="F86" s="7" t="s">
        <v>187</v>
      </c>
      <c r="G86" s="7" t="s">
        <v>1022</v>
      </c>
      <c r="H86" s="7" t="s">
        <v>120</v>
      </c>
      <c r="I86" s="7" t="s">
        <v>121</v>
      </c>
      <c r="J86" s="8" t="n">
        <v>3</v>
      </c>
      <c r="K86" s="8" t="n">
        <v>5</v>
      </c>
      <c r="L86" s="8" t="n">
        <v>5</v>
      </c>
      <c r="M86" s="8" t="n">
        <v>2</v>
      </c>
      <c r="N86" s="9" t="n">
        <f aca="false">ROUND(K86/5*3+L86/5*2.5+J86/5*2+M86/5*2.5,1)</f>
        <v>7.7</v>
      </c>
      <c r="O86" s="10"/>
      <c r="P86" s="10"/>
      <c r="Q86" s="10"/>
      <c r="R86" s="7" t="str">
        <f aca="false">IF(Q86="","(n/a)",IF(Q86&lt;=250000,"Small",IF(Q86&lt;=1500000,"Medium",IF(Q86&lt;=10000000,"Large","Mega"))))</f>
        <v>(n/a)</v>
      </c>
      <c r="S86" s="7" t="s">
        <v>344</v>
      </c>
      <c r="T86" s="7" t="s">
        <v>1023</v>
      </c>
      <c r="U86" s="7" t="s">
        <v>189</v>
      </c>
      <c r="V86" s="7" t="s">
        <v>1024</v>
      </c>
      <c r="W86" s="7" t="s">
        <v>173</v>
      </c>
      <c r="X86" s="14" t="s">
        <v>639</v>
      </c>
      <c r="Y86" s="7" t="s">
        <v>1025</v>
      </c>
      <c r="Z86" s="7" t="s">
        <v>1026</v>
      </c>
      <c r="AA86" s="7" t="s">
        <v>1027</v>
      </c>
      <c r="AB86" s="7" t="s">
        <v>1028</v>
      </c>
      <c r="AC86" s="7" t="s">
        <v>164</v>
      </c>
      <c r="AD86" s="7" t="s">
        <v>1029</v>
      </c>
      <c r="AE86" s="7" t="s">
        <v>60</v>
      </c>
      <c r="AF86" s="7" t="s">
        <v>134</v>
      </c>
      <c r="AG86" s="7" t="s">
        <v>135</v>
      </c>
      <c r="AH86" s="7" t="s">
        <v>1030</v>
      </c>
    </row>
    <row r="87" customFormat="false" ht="46.25" hidden="false" customHeight="false" outlineLevel="0" collapsed="false">
      <c r="A87" s="7" t="s">
        <v>1031</v>
      </c>
      <c r="B87" s="7" t="s">
        <v>1032</v>
      </c>
      <c r="C87" s="7" t="s">
        <v>1033</v>
      </c>
      <c r="D87" s="7" t="s">
        <v>340</v>
      </c>
      <c r="E87" s="7" t="s">
        <v>1034</v>
      </c>
      <c r="F87" s="7" t="s">
        <v>141</v>
      </c>
      <c r="G87" s="7" t="s">
        <v>1035</v>
      </c>
      <c r="H87" s="7" t="s">
        <v>120</v>
      </c>
      <c r="I87" s="7" t="s">
        <v>343</v>
      </c>
      <c r="J87" s="8" t="n">
        <v>2</v>
      </c>
      <c r="K87" s="8" t="n">
        <v>5</v>
      </c>
      <c r="L87" s="8" t="n">
        <v>3</v>
      </c>
      <c r="M87" s="8" t="n">
        <v>3</v>
      </c>
      <c r="N87" s="9" t="n">
        <f aca="false">ROUND(K87/5*3+L87/5*2.5+J87/5*2+M87/5*2.5,1)</f>
        <v>6.8</v>
      </c>
      <c r="O87" s="10"/>
      <c r="P87" s="10"/>
      <c r="Q87" s="10"/>
      <c r="R87" s="7" t="str">
        <f aca="false">IF(Q87="","(n/a)",IF(Q87&lt;=250000,"Small",IF(Q87&lt;=1500000,"Medium",IF(Q87&lt;=10000000,"Large","Mega"))))</f>
        <v>(n/a)</v>
      </c>
      <c r="S87" s="7" t="s">
        <v>344</v>
      </c>
      <c r="T87" s="7" t="s">
        <v>1036</v>
      </c>
      <c r="U87" s="7" t="s">
        <v>143</v>
      </c>
      <c r="V87" s="7" t="s">
        <v>1037</v>
      </c>
      <c r="W87" s="7" t="s">
        <v>173</v>
      </c>
      <c r="X87" s="15" t="s">
        <v>762</v>
      </c>
      <c r="Y87" s="7" t="s">
        <v>1038</v>
      </c>
      <c r="Z87" s="7" t="s">
        <v>234</v>
      </c>
      <c r="AA87" s="7" t="s">
        <v>1039</v>
      </c>
      <c r="AB87" s="7" t="s">
        <v>1028</v>
      </c>
      <c r="AC87" s="7" t="s">
        <v>164</v>
      </c>
      <c r="AD87" s="7" t="s">
        <v>1040</v>
      </c>
      <c r="AE87" s="7" t="s">
        <v>60</v>
      </c>
      <c r="AF87" s="7" t="s">
        <v>134</v>
      </c>
      <c r="AG87" s="7" t="s">
        <v>135</v>
      </c>
      <c r="AH87" s="7" t="s">
        <v>1041</v>
      </c>
    </row>
    <row r="88" customFormat="false" ht="23.85" hidden="false" customHeight="false" outlineLevel="0" collapsed="false">
      <c r="A88" s="7" t="s">
        <v>1042</v>
      </c>
      <c r="B88" s="7" t="s">
        <v>1043</v>
      </c>
      <c r="C88" s="7" t="s">
        <v>1044</v>
      </c>
      <c r="D88" s="7" t="s">
        <v>340</v>
      </c>
      <c r="E88" s="7" t="s">
        <v>1045</v>
      </c>
      <c r="F88" s="7" t="s">
        <v>187</v>
      </c>
      <c r="G88" s="7" t="s">
        <v>1046</v>
      </c>
      <c r="H88" s="7" t="s">
        <v>120</v>
      </c>
      <c r="I88" s="7" t="s">
        <v>121</v>
      </c>
      <c r="J88" s="8" t="n">
        <v>3</v>
      </c>
      <c r="K88" s="8" t="n">
        <v>4</v>
      </c>
      <c r="L88" s="8" t="n">
        <v>3</v>
      </c>
      <c r="M88" s="8" t="n">
        <v>4</v>
      </c>
      <c r="N88" s="9" t="n">
        <f aca="false">ROUND(K88/5*3+L88/5*2.5+J88/5*2+M88/5*2.5,1)</f>
        <v>7.1</v>
      </c>
      <c r="O88" s="10"/>
      <c r="P88" s="10"/>
      <c r="Q88" s="10"/>
      <c r="R88" s="7" t="str">
        <f aca="false">IF(Q88="","(n/a)",IF(Q88&lt;=250000,"Small",IF(Q88&lt;=1500000,"Medium",IF(Q88&lt;=10000000,"Large","Mega"))))</f>
        <v>(n/a)</v>
      </c>
      <c r="S88" s="7" t="s">
        <v>189</v>
      </c>
      <c r="T88" s="7" t="s">
        <v>1047</v>
      </c>
      <c r="U88" s="7" t="s">
        <v>189</v>
      </c>
      <c r="V88" s="7" t="s">
        <v>1048</v>
      </c>
      <c r="W88" s="7" t="s">
        <v>173</v>
      </c>
      <c r="X88" s="13" t="s">
        <v>347</v>
      </c>
      <c r="Y88" s="7" t="s">
        <v>1049</v>
      </c>
      <c r="Z88" s="7" t="s">
        <v>234</v>
      </c>
      <c r="AA88" s="7" t="s">
        <v>1050</v>
      </c>
      <c r="AB88" s="7" t="s">
        <v>1050</v>
      </c>
      <c r="AC88" s="7" t="s">
        <v>164</v>
      </c>
      <c r="AD88" s="7" t="s">
        <v>1051</v>
      </c>
      <c r="AE88" s="7" t="s">
        <v>60</v>
      </c>
      <c r="AF88" s="7" t="s">
        <v>134</v>
      </c>
      <c r="AG88" s="7" t="s">
        <v>135</v>
      </c>
      <c r="AH88" s="7" t="s">
        <v>234</v>
      </c>
    </row>
    <row r="89" customFormat="false" ht="35.05" hidden="false" customHeight="false" outlineLevel="0" collapsed="false">
      <c r="A89" s="7" t="s">
        <v>1052</v>
      </c>
      <c r="B89" s="7" t="s">
        <v>1053</v>
      </c>
      <c r="C89" s="7" t="s">
        <v>1053</v>
      </c>
      <c r="D89" s="7" t="s">
        <v>684</v>
      </c>
      <c r="E89" s="7" t="s">
        <v>685</v>
      </c>
      <c r="F89" s="7" t="s">
        <v>686</v>
      </c>
      <c r="G89" s="7" t="s">
        <v>1054</v>
      </c>
      <c r="H89" s="7" t="s">
        <v>120</v>
      </c>
      <c r="I89" s="7" t="s">
        <v>343</v>
      </c>
      <c r="J89" s="8" t="n">
        <v>4</v>
      </c>
      <c r="K89" s="8" t="n">
        <v>4</v>
      </c>
      <c r="L89" s="8" t="n">
        <v>1</v>
      </c>
      <c r="M89" s="8" t="n">
        <v>2</v>
      </c>
      <c r="N89" s="9" t="n">
        <f aca="false">ROUND(K89/5*3+L89/5*2.5+J89/5*2+M89/5*2.5,1)</f>
        <v>5.5</v>
      </c>
      <c r="O89" s="10" t="n">
        <v>125000</v>
      </c>
      <c r="P89" s="10" t="n">
        <v>500000</v>
      </c>
      <c r="Q89" s="10" t="n">
        <v>500000</v>
      </c>
      <c r="R89" s="7" t="str">
        <f aca="false">IF(Q89="","(n/a)",IF(Q89&lt;=250000,"Small",IF(Q89&lt;=1500000,"Medium",IF(Q89&lt;=10000000,"Large","Mega"))))</f>
        <v>Medium</v>
      </c>
      <c r="S89" s="7" t="s">
        <v>359</v>
      </c>
      <c r="T89" s="7" t="s">
        <v>1055</v>
      </c>
      <c r="U89" s="7" t="s">
        <v>143</v>
      </c>
      <c r="V89" s="7" t="s">
        <v>1056</v>
      </c>
      <c r="W89" s="7" t="s">
        <v>690</v>
      </c>
      <c r="X89" s="15" t="s">
        <v>762</v>
      </c>
      <c r="Y89" s="7" t="s">
        <v>234</v>
      </c>
      <c r="Z89" s="7" t="s">
        <v>1057</v>
      </c>
      <c r="AA89" s="7" t="s">
        <v>1058</v>
      </c>
      <c r="AB89" s="7" t="s">
        <v>1058</v>
      </c>
      <c r="AC89" s="7" t="s">
        <v>164</v>
      </c>
      <c r="AD89" s="7" t="s">
        <v>1059</v>
      </c>
      <c r="AE89" s="7" t="s">
        <v>58</v>
      </c>
      <c r="AF89" s="7" t="s">
        <v>166</v>
      </c>
      <c r="AG89" s="7" t="s">
        <v>1060</v>
      </c>
      <c r="AH89" s="7" t="s">
        <v>1061</v>
      </c>
    </row>
    <row r="90" customFormat="false" ht="23.85" hidden="false" customHeight="false" outlineLevel="0" collapsed="false">
      <c r="A90" s="7" t="s">
        <v>1062</v>
      </c>
      <c r="B90" s="7" t="s">
        <v>1063</v>
      </c>
      <c r="C90" s="7" t="s">
        <v>1064</v>
      </c>
      <c r="D90" s="7" t="s">
        <v>288</v>
      </c>
      <c r="E90" s="7" t="s">
        <v>1065</v>
      </c>
      <c r="F90" s="7" t="s">
        <v>141</v>
      </c>
      <c r="G90" s="7" t="s">
        <v>119</v>
      </c>
      <c r="H90" s="7" t="s">
        <v>1066</v>
      </c>
      <c r="I90" s="7" t="s">
        <v>121</v>
      </c>
      <c r="J90" s="8" t="n">
        <v>4</v>
      </c>
      <c r="K90" s="8" t="n">
        <v>3</v>
      </c>
      <c r="L90" s="8" t="n">
        <v>4</v>
      </c>
      <c r="M90" s="8" t="n">
        <v>4</v>
      </c>
      <c r="N90" s="9" t="n">
        <f aca="false">ROUND(K90/5*3+L90/5*2.5+J90/5*2+M90/5*2.5,1)</f>
        <v>7.4</v>
      </c>
      <c r="O90" s="10" t="n">
        <v>10000</v>
      </c>
      <c r="P90" s="10" t="n">
        <v>100000</v>
      </c>
      <c r="Q90" s="10" t="n">
        <v>50000</v>
      </c>
      <c r="R90" s="7" t="str">
        <f aca="false">IF(Q90="","(n/a)",IF(Q90&lt;=250000,"Small",IF(Q90&lt;=1500000,"Medium",IF(Q90&lt;=10000000,"Large","Mega"))))</f>
        <v>Small</v>
      </c>
      <c r="S90" s="7" t="s">
        <v>344</v>
      </c>
      <c r="T90" s="7" t="s">
        <v>1067</v>
      </c>
      <c r="U90" s="7" t="s">
        <v>189</v>
      </c>
      <c r="V90" s="7" t="s">
        <v>1068</v>
      </c>
      <c r="W90" s="7" t="s">
        <v>126</v>
      </c>
      <c r="X90" s="13" t="s">
        <v>347</v>
      </c>
      <c r="Y90" s="7" t="s">
        <v>1069</v>
      </c>
      <c r="Z90" s="7" t="s">
        <v>234</v>
      </c>
      <c r="AA90" s="7" t="s">
        <v>1070</v>
      </c>
      <c r="AB90" s="7" t="s">
        <v>1070</v>
      </c>
      <c r="AC90" s="7" t="s">
        <v>164</v>
      </c>
      <c r="AD90" s="7" t="s">
        <v>1071</v>
      </c>
      <c r="AE90" s="7" t="s">
        <v>58</v>
      </c>
      <c r="AF90" s="7" t="s">
        <v>166</v>
      </c>
      <c r="AG90" s="7" t="s">
        <v>1072</v>
      </c>
      <c r="AH90" s="7" t="s">
        <v>1073</v>
      </c>
    </row>
    <row r="91" customFormat="false" ht="23.85" hidden="false" customHeight="false" outlineLevel="0" collapsed="false">
      <c r="A91" s="7" t="s">
        <v>1074</v>
      </c>
      <c r="B91" s="7" t="s">
        <v>1075</v>
      </c>
      <c r="C91" s="7" t="s">
        <v>1076</v>
      </c>
      <c r="D91" s="7" t="s">
        <v>155</v>
      </c>
      <c r="E91" s="7" t="s">
        <v>1077</v>
      </c>
      <c r="F91" s="7" t="s">
        <v>187</v>
      </c>
      <c r="G91" s="7" t="s">
        <v>659</v>
      </c>
      <c r="H91" s="7" t="s">
        <v>1078</v>
      </c>
      <c r="I91" s="7" t="s">
        <v>343</v>
      </c>
      <c r="J91" s="8" t="n">
        <v>2</v>
      </c>
      <c r="K91" s="8" t="n">
        <v>3</v>
      </c>
      <c r="L91" s="8" t="n">
        <v>3</v>
      </c>
      <c r="M91" s="8" t="n">
        <v>2</v>
      </c>
      <c r="N91" s="9" t="n">
        <f aca="false">ROUND(K91/5*3+L91/5*2.5+J91/5*2+M91/5*2.5,1)</f>
        <v>5.1</v>
      </c>
      <c r="O91" s="10"/>
      <c r="P91" s="10"/>
      <c r="Q91" s="10"/>
      <c r="R91" s="7" t="str">
        <f aca="false">IF(Q91="","(n/a)",IF(Q91&lt;=250000,"Small",IF(Q91&lt;=1500000,"Medium",IF(Q91&lt;=10000000,"Large","Mega"))))</f>
        <v>(n/a)</v>
      </c>
      <c r="S91" s="7" t="s">
        <v>359</v>
      </c>
      <c r="T91" s="7" t="s">
        <v>473</v>
      </c>
      <c r="U91" s="7" t="s">
        <v>189</v>
      </c>
      <c r="V91" s="7" t="s">
        <v>1079</v>
      </c>
      <c r="W91" s="7" t="s">
        <v>192</v>
      </c>
      <c r="X91" s="15" t="s">
        <v>762</v>
      </c>
      <c r="Y91" s="7" t="s">
        <v>234</v>
      </c>
      <c r="Z91" s="7" t="s">
        <v>1080</v>
      </c>
      <c r="AA91" s="7" t="s">
        <v>1081</v>
      </c>
      <c r="AB91" s="7" t="s">
        <v>1081</v>
      </c>
      <c r="AC91" s="7" t="s">
        <v>164</v>
      </c>
      <c r="AD91" s="7" t="s">
        <v>1082</v>
      </c>
      <c r="AE91" s="7" t="s">
        <v>58</v>
      </c>
      <c r="AF91" s="7" t="s">
        <v>166</v>
      </c>
      <c r="AG91" s="7" t="s">
        <v>473</v>
      </c>
      <c r="AH91" s="7" t="s">
        <v>1083</v>
      </c>
    </row>
    <row r="92" customFormat="false" ht="57.45" hidden="false" customHeight="false" outlineLevel="0" collapsed="false">
      <c r="A92" s="7" t="s">
        <v>1084</v>
      </c>
      <c r="B92" s="7" t="s">
        <v>1085</v>
      </c>
      <c r="C92" s="7" t="s">
        <v>1086</v>
      </c>
      <c r="D92" s="7" t="s">
        <v>989</v>
      </c>
      <c r="E92" s="7" t="s">
        <v>1087</v>
      </c>
      <c r="F92" s="7" t="s">
        <v>187</v>
      </c>
      <c r="G92" s="7" t="s">
        <v>791</v>
      </c>
      <c r="H92" s="7" t="s">
        <v>120</v>
      </c>
      <c r="I92" s="7" t="s">
        <v>343</v>
      </c>
      <c r="J92" s="8" t="n">
        <v>3</v>
      </c>
      <c r="K92" s="8" t="n">
        <v>5</v>
      </c>
      <c r="L92" s="8" t="n">
        <v>4</v>
      </c>
      <c r="M92" s="8" t="n">
        <v>3</v>
      </c>
      <c r="N92" s="9" t="n">
        <f aca="false">ROUND(K92/5*3+L92/5*2.5+J92/5*2+M92/5*2.5,1)</f>
        <v>7.7</v>
      </c>
      <c r="O92" s="10"/>
      <c r="P92" s="10"/>
      <c r="Q92" s="10"/>
      <c r="R92" s="7" t="str">
        <f aca="false">IF(Q92="","(n/a)",IF(Q92&lt;=250000,"Small",IF(Q92&lt;=1500000,"Medium",IF(Q92&lt;=10000000,"Large","Mega"))))</f>
        <v>(n/a)</v>
      </c>
      <c r="S92" s="7" t="s">
        <v>189</v>
      </c>
      <c r="T92" s="7" t="s">
        <v>792</v>
      </c>
      <c r="U92" s="7" t="s">
        <v>189</v>
      </c>
      <c r="V92" s="7" t="s">
        <v>1088</v>
      </c>
      <c r="W92" s="7" t="s">
        <v>145</v>
      </c>
      <c r="X92" s="15" t="s">
        <v>762</v>
      </c>
      <c r="Y92" s="7" t="s">
        <v>1089</v>
      </c>
      <c r="Z92" s="7" t="s">
        <v>1090</v>
      </c>
      <c r="AA92" s="7" t="s">
        <v>1091</v>
      </c>
      <c r="AB92" s="7" t="s">
        <v>1092</v>
      </c>
      <c r="AC92" s="7" t="s">
        <v>847</v>
      </c>
      <c r="AD92" s="7" t="s">
        <v>1093</v>
      </c>
      <c r="AE92" s="7" t="s">
        <v>58</v>
      </c>
      <c r="AF92" s="7" t="s">
        <v>134</v>
      </c>
      <c r="AG92" s="7" t="s">
        <v>135</v>
      </c>
      <c r="AH92" s="7" t="s">
        <v>1094</v>
      </c>
    </row>
    <row r="93" customFormat="false" ht="46.25" hidden="false" customHeight="false" outlineLevel="0" collapsed="false">
      <c r="A93" s="7" t="s">
        <v>1095</v>
      </c>
      <c r="B93" s="7" t="s">
        <v>1096</v>
      </c>
      <c r="C93" s="7" t="s">
        <v>988</v>
      </c>
      <c r="D93" s="7" t="s">
        <v>989</v>
      </c>
      <c r="E93" s="7" t="s">
        <v>1087</v>
      </c>
      <c r="F93" s="7" t="s">
        <v>187</v>
      </c>
      <c r="G93" s="7" t="s">
        <v>791</v>
      </c>
      <c r="H93" s="7" t="s">
        <v>120</v>
      </c>
      <c r="I93" s="7" t="s">
        <v>343</v>
      </c>
      <c r="J93" s="8" t="n">
        <v>4</v>
      </c>
      <c r="K93" s="8" t="n">
        <v>5</v>
      </c>
      <c r="L93" s="8" t="n">
        <v>4</v>
      </c>
      <c r="M93" s="8" t="n">
        <v>3</v>
      </c>
      <c r="N93" s="9" t="n">
        <f aca="false">ROUND(K93/5*3+L93/5*2.5+J93/5*2+M93/5*2.5,1)</f>
        <v>8.1</v>
      </c>
      <c r="O93" s="10"/>
      <c r="P93" s="10"/>
      <c r="Q93" s="10"/>
      <c r="R93" s="7" t="str">
        <f aca="false">IF(Q93="","(n/a)",IF(Q93&lt;=250000,"Small",IF(Q93&lt;=1500000,"Medium",IF(Q93&lt;=10000000,"Large","Mega"))))</f>
        <v>(n/a)</v>
      </c>
      <c r="S93" s="7" t="s">
        <v>189</v>
      </c>
      <c r="T93" s="7" t="s">
        <v>792</v>
      </c>
      <c r="U93" s="7" t="s">
        <v>189</v>
      </c>
      <c r="V93" s="7" t="s">
        <v>1097</v>
      </c>
      <c r="W93" s="7" t="s">
        <v>145</v>
      </c>
      <c r="X93" s="15" t="s">
        <v>762</v>
      </c>
      <c r="Y93" s="7" t="s">
        <v>1098</v>
      </c>
      <c r="Z93" s="7" t="s">
        <v>1099</v>
      </c>
      <c r="AA93" s="7" t="s">
        <v>1100</v>
      </c>
      <c r="AB93" s="7" t="s">
        <v>1101</v>
      </c>
      <c r="AC93" s="7" t="s">
        <v>847</v>
      </c>
      <c r="AD93" s="7" t="s">
        <v>1102</v>
      </c>
      <c r="AE93" s="7" t="s">
        <v>58</v>
      </c>
      <c r="AF93" s="7" t="s">
        <v>134</v>
      </c>
      <c r="AG93" s="7" t="s">
        <v>135</v>
      </c>
      <c r="AH93" s="7" t="s">
        <v>1103</v>
      </c>
    </row>
    <row r="94" customFormat="false" ht="35.05" hidden="false" customHeight="false" outlineLevel="0" collapsed="false">
      <c r="A94" s="7" t="s">
        <v>1104</v>
      </c>
      <c r="B94" s="7" t="s">
        <v>1105</v>
      </c>
      <c r="C94" s="7" t="s">
        <v>1106</v>
      </c>
      <c r="D94" s="7" t="s">
        <v>116</v>
      </c>
      <c r="E94" s="7" t="s">
        <v>341</v>
      </c>
      <c r="F94" s="7" t="s">
        <v>141</v>
      </c>
      <c r="G94" s="7" t="s">
        <v>1107</v>
      </c>
      <c r="H94" s="7" t="s">
        <v>1108</v>
      </c>
      <c r="I94" s="7" t="s">
        <v>343</v>
      </c>
      <c r="J94" s="8" t="n">
        <v>3</v>
      </c>
      <c r="K94" s="8" t="n">
        <v>4</v>
      </c>
      <c r="L94" s="8" t="n">
        <v>4</v>
      </c>
      <c r="M94" s="8" t="n">
        <v>3</v>
      </c>
      <c r="N94" s="9" t="n">
        <f aca="false">ROUND(K94/5*3+L94/5*2.5+J94/5*2+M94/5*2.5,1)</f>
        <v>7.1</v>
      </c>
      <c r="O94" s="10" t="n">
        <v>500000</v>
      </c>
      <c r="P94" s="10" t="n">
        <v>5000000</v>
      </c>
      <c r="Q94" s="10" t="n">
        <v>2000000</v>
      </c>
      <c r="R94" s="7" t="str">
        <f aca="false">IF(Q94="","(n/a)",IF(Q94&lt;=250000,"Small",IF(Q94&lt;=1500000,"Medium",IF(Q94&lt;=10000000,"Large","Mega"))))</f>
        <v>Large</v>
      </c>
      <c r="S94" s="7" t="s">
        <v>344</v>
      </c>
      <c r="T94" s="7" t="s">
        <v>1109</v>
      </c>
      <c r="U94" s="7" t="s">
        <v>143</v>
      </c>
      <c r="V94" s="7" t="s">
        <v>1110</v>
      </c>
      <c r="W94" s="7" t="s">
        <v>145</v>
      </c>
      <c r="X94" s="14" t="s">
        <v>639</v>
      </c>
      <c r="Y94" s="7" t="s">
        <v>1111</v>
      </c>
      <c r="Z94" s="7" t="s">
        <v>1112</v>
      </c>
      <c r="AA94" s="7" t="s">
        <v>1113</v>
      </c>
      <c r="AB94" s="7" t="s">
        <v>1114</v>
      </c>
      <c r="AC94" s="7" t="s">
        <v>164</v>
      </c>
      <c r="AD94" s="7" t="s">
        <v>1115</v>
      </c>
      <c r="AE94" s="7" t="s">
        <v>60</v>
      </c>
      <c r="AF94" s="7" t="s">
        <v>134</v>
      </c>
      <c r="AG94" s="7" t="s">
        <v>1116</v>
      </c>
      <c r="AH94" s="7" t="s">
        <v>1112</v>
      </c>
    </row>
    <row r="95" customFormat="false" ht="35.05" hidden="false" customHeight="false" outlineLevel="0" collapsed="false">
      <c r="A95" s="7" t="s">
        <v>1117</v>
      </c>
      <c r="B95" s="7" t="s">
        <v>1118</v>
      </c>
      <c r="C95" s="7" t="s">
        <v>1119</v>
      </c>
      <c r="D95" s="7" t="s">
        <v>699</v>
      </c>
      <c r="E95" s="7" t="s">
        <v>700</v>
      </c>
      <c r="F95" s="7" t="s">
        <v>141</v>
      </c>
      <c r="G95" s="7" t="s">
        <v>1120</v>
      </c>
      <c r="H95" s="7" t="s">
        <v>702</v>
      </c>
      <c r="I95" s="7" t="s">
        <v>343</v>
      </c>
      <c r="J95" s="8" t="n">
        <v>4</v>
      </c>
      <c r="K95" s="8" t="n">
        <v>5</v>
      </c>
      <c r="L95" s="8" t="n">
        <v>5</v>
      </c>
      <c r="M95" s="8" t="n">
        <v>3</v>
      </c>
      <c r="N95" s="9" t="n">
        <f aca="false">ROUND(K95/5*3+L95/5*2.5+J95/5*2+M95/5*2.5,1)</f>
        <v>8.6</v>
      </c>
      <c r="O95" s="10" t="n">
        <v>1000000</v>
      </c>
      <c r="P95" s="10" t="n">
        <v>8000000</v>
      </c>
      <c r="Q95" s="10" t="n">
        <v>3000000</v>
      </c>
      <c r="R95" s="7" t="str">
        <f aca="false">IF(Q95="","(n/a)",IF(Q95&lt;=250000,"Small",IF(Q95&lt;=1500000,"Medium",IF(Q95&lt;=10000000,"Large","Mega"))))</f>
        <v>Large</v>
      </c>
      <c r="S95" s="7" t="s">
        <v>344</v>
      </c>
      <c r="T95" s="7" t="s">
        <v>1121</v>
      </c>
      <c r="U95" s="7" t="s">
        <v>143</v>
      </c>
      <c r="V95" s="7" t="s">
        <v>1122</v>
      </c>
      <c r="W95" s="7" t="s">
        <v>145</v>
      </c>
      <c r="X95" s="14" t="s">
        <v>639</v>
      </c>
      <c r="Y95" s="7" t="s">
        <v>1123</v>
      </c>
      <c r="Z95" s="7" t="s">
        <v>1124</v>
      </c>
      <c r="AA95" s="7" t="s">
        <v>1125</v>
      </c>
      <c r="AB95" s="7" t="s">
        <v>1125</v>
      </c>
      <c r="AC95" s="7" t="s">
        <v>164</v>
      </c>
      <c r="AD95" s="7" t="s">
        <v>1126</v>
      </c>
      <c r="AE95" s="7" t="s">
        <v>60</v>
      </c>
      <c r="AF95" s="7" t="s">
        <v>134</v>
      </c>
      <c r="AG95" s="7" t="s">
        <v>135</v>
      </c>
      <c r="AH95" s="7" t="s">
        <v>1127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1128</v>
      </c>
    </row>
    <row r="2" customFormat="false" ht="15" hidden="false" customHeight="false" outlineLevel="0" collapsed="false">
      <c r="A2" s="2" t="s">
        <v>1129</v>
      </c>
    </row>
    <row r="4" customFormat="false" ht="15" hidden="false" customHeight="false" outlineLevel="0" collapsed="false">
      <c r="A4" s="16" t="s">
        <v>1130</v>
      </c>
    </row>
    <row r="5" customFormat="false" ht="15" hidden="false" customHeight="false" outlineLevel="0" collapsed="false">
      <c r="A5" s="17" t="s">
        <v>1131</v>
      </c>
      <c r="B5" s="17" t="s">
        <v>1132</v>
      </c>
    </row>
    <row r="6" customFormat="false" ht="15" hidden="false" customHeight="false" outlineLevel="0" collapsed="false">
      <c r="A6" s="18" t="s">
        <v>49</v>
      </c>
      <c r="B6" s="9" t="n">
        <f aca="false">COUNTIF('Master — Funding Opportunities'!$X$5:$X$200,"0")</f>
        <v>8</v>
      </c>
    </row>
    <row r="7" customFormat="false" ht="15" hidden="false" customHeight="false" outlineLevel="0" collapsed="false">
      <c r="A7" s="18" t="s">
        <v>51</v>
      </c>
      <c r="B7" s="9" t="n">
        <f aca="false">COUNTIF('Master — Funding Opportunities'!$X$5:$X$200,"1")</f>
        <v>12</v>
      </c>
    </row>
    <row r="8" customFormat="false" ht="15" hidden="false" customHeight="false" outlineLevel="0" collapsed="false">
      <c r="A8" s="18" t="s">
        <v>53</v>
      </c>
      <c r="B8" s="9" t="n">
        <f aca="false">COUNTIF('Master — Funding Opportunities'!$X$5:$X$200,"2")</f>
        <v>37</v>
      </c>
    </row>
    <row r="9" customFormat="false" ht="15" hidden="false" customHeight="false" outlineLevel="0" collapsed="false">
      <c r="A9" s="18" t="s">
        <v>1133</v>
      </c>
      <c r="B9" s="9" t="n">
        <f aca="false">COUNTIF('Master — Funding Opportunities'!$X$5:$X$200,"3")</f>
        <v>17</v>
      </c>
    </row>
    <row r="10" customFormat="false" ht="15" hidden="false" customHeight="false" outlineLevel="0" collapsed="false">
      <c r="A10" s="18" t="s">
        <v>1134</v>
      </c>
      <c r="B10" s="9" t="n">
        <f aca="false">COUNTIF('Master — Funding Opportunities'!$X$5:$X$200,"Backup")</f>
        <v>17</v>
      </c>
    </row>
    <row r="11" customFormat="false" ht="15" hidden="false" customHeight="false" outlineLevel="0" collapsed="false">
      <c r="A11" s="18" t="s">
        <v>1135</v>
      </c>
      <c r="B11" s="9" t="n">
        <f aca="false">COUNTA('Master — Funding Opportunities'!$B$5:$B$200)</f>
        <v>91</v>
      </c>
    </row>
    <row r="13" customFormat="false" ht="15" hidden="false" customHeight="false" outlineLevel="0" collapsed="false">
      <c r="A13" s="16" t="s">
        <v>1136</v>
      </c>
    </row>
    <row r="14" customFormat="false" ht="15" hidden="false" customHeight="false" outlineLevel="0" collapsed="false">
      <c r="A14" s="17" t="s">
        <v>1131</v>
      </c>
      <c r="B14" s="17" t="s">
        <v>1132</v>
      </c>
    </row>
    <row r="15" customFormat="false" ht="15" hidden="false" customHeight="false" outlineLevel="0" collapsed="false">
      <c r="A15" s="18" t="s">
        <v>1137</v>
      </c>
      <c r="B15" s="9" t="n">
        <f aca="false">COUNTIF('Master — Funding Opportunities'!$R$5:$R$200,"Small")</f>
        <v>20</v>
      </c>
    </row>
    <row r="16" customFormat="false" ht="15" hidden="false" customHeight="false" outlineLevel="0" collapsed="false">
      <c r="A16" s="18" t="s">
        <v>1138</v>
      </c>
      <c r="B16" s="9" t="n">
        <f aca="false">COUNTIF('Master — Funding Opportunities'!$R$5:$R$200,"Medium")</f>
        <v>23</v>
      </c>
    </row>
    <row r="17" customFormat="false" ht="15" hidden="false" customHeight="false" outlineLevel="0" collapsed="false">
      <c r="A17" s="18" t="s">
        <v>1139</v>
      </c>
      <c r="B17" s="9" t="n">
        <f aca="false">COUNTIF('Master — Funding Opportunities'!$R$5:$R$200,"Large")</f>
        <v>15</v>
      </c>
    </row>
    <row r="18" customFormat="false" ht="15" hidden="false" customHeight="false" outlineLevel="0" collapsed="false">
      <c r="A18" s="18" t="s">
        <v>1140</v>
      </c>
      <c r="B18" s="9" t="n">
        <f aca="false">COUNTIF('Master — Funding Opportunities'!$R$5:$R$200,"Mega")</f>
        <v>3</v>
      </c>
    </row>
    <row r="19" customFormat="false" ht="15" hidden="false" customHeight="false" outlineLevel="0" collapsed="false">
      <c r="A19" s="18" t="s">
        <v>1141</v>
      </c>
      <c r="B19" s="9" t="n">
        <f aca="false">COUNTIF('Master — Funding Opportunities'!$R$5:$R$200,"(n/a)")</f>
        <v>30</v>
      </c>
    </row>
    <row r="21" customFormat="false" ht="15" hidden="false" customHeight="false" outlineLevel="0" collapsed="false">
      <c r="A21" s="16" t="s">
        <v>1142</v>
      </c>
    </row>
    <row r="22" customFormat="false" ht="15" hidden="false" customHeight="false" outlineLevel="0" collapsed="false">
      <c r="A22" s="17" t="s">
        <v>1131</v>
      </c>
      <c r="B22" s="17" t="s">
        <v>1132</v>
      </c>
    </row>
    <row r="23" customFormat="false" ht="15" hidden="false" customHeight="false" outlineLevel="0" collapsed="false">
      <c r="A23" s="18" t="s">
        <v>1143</v>
      </c>
      <c r="B23" s="9" t="n">
        <f aca="false">COUNTIF('Master — Funding Opportunities'!$N$5:$N$200,"&gt;=8")</f>
        <v>31</v>
      </c>
    </row>
    <row r="24" customFormat="false" ht="15" hidden="false" customHeight="false" outlineLevel="0" collapsed="false">
      <c r="A24" s="18" t="s">
        <v>1144</v>
      </c>
      <c r="B24" s="9" t="n">
        <f aca="false">COUNTIFS('Master — Funding Opportunities'!$N$5:$N$200,"&gt;=6",'Master — Funding Opportunities'!$N$5:$N$200,"&lt;8")</f>
        <v>54</v>
      </c>
    </row>
    <row r="25" customFormat="false" ht="15" hidden="false" customHeight="false" outlineLevel="0" collapsed="false">
      <c r="A25" s="18" t="s">
        <v>1145</v>
      </c>
      <c r="B25" s="9" t="n">
        <f aca="false">COUNTIFS('Master — Funding Opportunities'!$N$5:$N$200,"&gt;=4",'Master — Funding Opportunities'!$N$5:$N$200,"&lt;6")</f>
        <v>6</v>
      </c>
    </row>
    <row r="26" customFormat="false" ht="15" hidden="false" customHeight="false" outlineLevel="0" collapsed="false">
      <c r="A26" s="18" t="s">
        <v>1146</v>
      </c>
      <c r="B26" s="9" t="n">
        <f aca="false">COUNTIFS('Master — Funding Opportunities'!$N$5:$N$200,"&lt;4",'Master — Funding Opportunities'!$N$5:$N$200,"&gt;0")</f>
        <v>0</v>
      </c>
    </row>
    <row r="28" customFormat="false" ht="15" hidden="false" customHeight="false" outlineLevel="0" collapsed="false">
      <c r="A28" s="16" t="s">
        <v>1147</v>
      </c>
    </row>
    <row r="29" customFormat="false" ht="15" hidden="false" customHeight="false" outlineLevel="0" collapsed="false">
      <c r="A29" s="17" t="s">
        <v>1131</v>
      </c>
      <c r="B29" s="17" t="s">
        <v>1132</v>
      </c>
    </row>
    <row r="30" customFormat="false" ht="15" hidden="false" customHeight="false" outlineLevel="0" collapsed="false">
      <c r="A30" s="18" t="s">
        <v>121</v>
      </c>
      <c r="B30" s="9" t="n">
        <f aca="false">COUNTIF('Master — Funding Opportunities'!$I$5:$I$200,"PASS")</f>
        <v>58</v>
      </c>
    </row>
    <row r="31" customFormat="false" ht="15" hidden="false" customHeight="false" outlineLevel="0" collapsed="false">
      <c r="A31" s="18" t="s">
        <v>343</v>
      </c>
      <c r="B31" s="9" t="n">
        <f aca="false">COUNTIF('Master — Funding Opportunities'!$I$5:$I$200,"BACKUP")</f>
        <v>33</v>
      </c>
    </row>
    <row r="32" customFormat="false" ht="15" hidden="false" customHeight="false" outlineLevel="0" collapsed="false">
      <c r="A32" s="18" t="s">
        <v>1148</v>
      </c>
      <c r="B32" s="9" t="n">
        <f aca="false">COUNTIF('Master — Funding Opportunities'!$I$5:$I$200,"EXCLUDE")</f>
        <v>0</v>
      </c>
    </row>
    <row r="34" customFormat="false" ht="15" hidden="false" customHeight="false" outlineLevel="0" collapsed="false">
      <c r="A34" s="16" t="s">
        <v>1149</v>
      </c>
    </row>
    <row r="35" customFormat="false" ht="15" hidden="false" customHeight="false" outlineLevel="0" collapsed="false">
      <c r="A35" s="17" t="s">
        <v>1131</v>
      </c>
      <c r="B35" s="17" t="s">
        <v>1132</v>
      </c>
    </row>
    <row r="36" customFormat="false" ht="15" hidden="false" customHeight="false" outlineLevel="0" collapsed="false">
      <c r="A36" s="18" t="s">
        <v>116</v>
      </c>
      <c r="B36" s="9" t="n">
        <f aca="false">COUNTIF('Master — Funding Opportunities'!$D$5:$D$200,"Government")</f>
        <v>20</v>
      </c>
    </row>
    <row r="37" customFormat="false" ht="15" hidden="false" customHeight="false" outlineLevel="0" collapsed="false">
      <c r="A37" s="18" t="s">
        <v>299</v>
      </c>
      <c r="B37" s="9" t="n">
        <f aca="false">COUNTIF('Master — Funding Opportunities'!$D$5:$D$200,"Philanthropic")</f>
        <v>23</v>
      </c>
    </row>
    <row r="38" customFormat="false" ht="15" hidden="false" customHeight="false" outlineLevel="0" collapsed="false">
      <c r="A38" s="18" t="s">
        <v>185</v>
      </c>
      <c r="B38" s="9" t="n">
        <f aca="false">COUNTIF('Master — Funding Opportunities'!$D$5:$D$200,"FRO / Moonshot")</f>
        <v>7</v>
      </c>
    </row>
    <row r="39" customFormat="false" ht="15" hidden="false" customHeight="false" outlineLevel="0" collapsed="false">
      <c r="A39" s="18" t="s">
        <v>155</v>
      </c>
      <c r="B39" s="9" t="n">
        <f aca="false">COUNTIF('Master — Funding Opportunities'!$D$5:$D$200,"Corporate")</f>
        <v>17</v>
      </c>
    </row>
    <row r="40" customFormat="false" ht="15" hidden="false" customHeight="false" outlineLevel="0" collapsed="false">
      <c r="A40" s="18" t="s">
        <v>340</v>
      </c>
      <c r="B40" s="9" t="n">
        <f aca="false">COUNTIF('Master — Funding Opportunities'!$D$5:$D$200,"Mental-Health Foundation")</f>
        <v>13</v>
      </c>
    </row>
    <row r="41" customFormat="false" ht="15" hidden="false" customHeight="false" outlineLevel="0" collapsed="false">
      <c r="A41" s="18" t="s">
        <v>288</v>
      </c>
      <c r="B41" s="9" t="n">
        <f aca="false">COUNTIF('Master — Funding Opportunities'!$D$5:$D$200,"EA / Longtermist")</f>
        <v>3</v>
      </c>
    </row>
    <row r="42" customFormat="false" ht="15" hidden="false" customHeight="false" outlineLevel="0" collapsed="false">
      <c r="A42" s="18" t="s">
        <v>684</v>
      </c>
      <c r="B42" s="9" t="n">
        <f aca="false">COUNTIF('Master — Funding Opportunities'!$D$5:$D$200,"Venture Capital")</f>
        <v>3</v>
      </c>
    </row>
    <row r="43" customFormat="false" ht="15" hidden="false" customHeight="false" outlineLevel="0" collapsed="false">
      <c r="A43" s="18" t="s">
        <v>699</v>
      </c>
      <c r="B43" s="9" t="n">
        <f aca="false">COUNTIF('Master — Funding Opportunities'!$D$5:$D$200,"Intergovernmental")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9"/>
    <col collapsed="false" customWidth="true" hidden="false" outlineLevel="0" max="11" min="11" style="0" width="46"/>
  </cols>
  <sheetData>
    <row r="1" customFormat="false" ht="18.55" hidden="false" customHeight="false" outlineLevel="0" collapsed="false">
      <c r="A1" s="1" t="s">
        <v>1150</v>
      </c>
    </row>
    <row r="2" customFormat="false" ht="15" hidden="false" customHeight="false" outlineLevel="0" collapsed="false">
      <c r="A2" s="2" t="s">
        <v>1151</v>
      </c>
    </row>
    <row r="4" customFormat="false" ht="23.85" hidden="false" customHeight="false" outlineLevel="0" collapsed="false">
      <c r="A4" s="6" t="s">
        <v>79</v>
      </c>
      <c r="B4" s="6" t="s">
        <v>1152</v>
      </c>
      <c r="C4" s="6" t="s">
        <v>1153</v>
      </c>
      <c r="D4" s="6" t="s">
        <v>1154</v>
      </c>
      <c r="E4" s="6" t="s">
        <v>1155</v>
      </c>
      <c r="F4" s="6" t="s">
        <v>1156</v>
      </c>
      <c r="G4" s="6" t="s">
        <v>1157</v>
      </c>
      <c r="H4" s="6" t="s">
        <v>1158</v>
      </c>
      <c r="I4" s="6" t="s">
        <v>1159</v>
      </c>
      <c r="J4" s="6" t="s">
        <v>1160</v>
      </c>
      <c r="K4" s="6" t="s">
        <v>1161</v>
      </c>
    </row>
    <row r="5" customFormat="false" ht="23.85" hidden="false" customHeight="false" outlineLevel="0" collapsed="false">
      <c r="A5" s="7" t="s">
        <v>1162</v>
      </c>
      <c r="B5" s="7" t="s">
        <v>1163</v>
      </c>
      <c r="C5" s="7" t="s">
        <v>1164</v>
      </c>
      <c r="D5" s="7" t="s">
        <v>1165</v>
      </c>
      <c r="E5" s="7" t="s">
        <v>1166</v>
      </c>
      <c r="F5" s="7" t="s">
        <v>1167</v>
      </c>
      <c r="G5" s="7" t="s">
        <v>1168</v>
      </c>
      <c r="H5" s="7" t="s">
        <v>1169</v>
      </c>
      <c r="I5" s="19" t="s">
        <v>1170</v>
      </c>
      <c r="J5" s="7" t="s">
        <v>58</v>
      </c>
      <c r="K5" s="7" t="s">
        <v>1171</v>
      </c>
    </row>
    <row r="6" customFormat="false" ht="23.85" hidden="false" customHeight="false" outlineLevel="0" collapsed="false">
      <c r="A6" s="7" t="s">
        <v>1172</v>
      </c>
      <c r="B6" s="7" t="s">
        <v>1173</v>
      </c>
      <c r="C6" s="7" t="s">
        <v>1164</v>
      </c>
      <c r="D6" s="7" t="s">
        <v>1174</v>
      </c>
      <c r="E6" s="7" t="s">
        <v>1175</v>
      </c>
      <c r="F6" s="7" t="s">
        <v>1176</v>
      </c>
      <c r="G6" s="7" t="s">
        <v>1177</v>
      </c>
      <c r="H6" s="7" t="s">
        <v>1169</v>
      </c>
      <c r="I6" s="19" t="s">
        <v>1170</v>
      </c>
      <c r="J6" s="7" t="s">
        <v>58</v>
      </c>
      <c r="K6" s="7" t="s">
        <v>1178</v>
      </c>
    </row>
    <row r="7" customFormat="false" ht="23.85" hidden="false" customHeight="false" outlineLevel="0" collapsed="false">
      <c r="A7" s="7" t="s">
        <v>1179</v>
      </c>
      <c r="B7" s="7" t="s">
        <v>1180</v>
      </c>
      <c r="C7" s="7" t="s">
        <v>1164</v>
      </c>
      <c r="D7" s="7" t="s">
        <v>1181</v>
      </c>
      <c r="E7" s="7" t="s">
        <v>1182</v>
      </c>
      <c r="F7" s="7" t="s">
        <v>1183</v>
      </c>
      <c r="G7" s="7" t="s">
        <v>1184</v>
      </c>
      <c r="H7" s="7" t="s">
        <v>1185</v>
      </c>
      <c r="I7" s="19" t="s">
        <v>1170</v>
      </c>
      <c r="J7" s="7" t="s">
        <v>58</v>
      </c>
      <c r="K7" s="7" t="s">
        <v>1186</v>
      </c>
    </row>
    <row r="8" customFormat="false" ht="15" hidden="false" customHeight="false" outlineLevel="0" collapsed="false">
      <c r="A8" s="7" t="s">
        <v>1187</v>
      </c>
      <c r="B8" s="7" t="s">
        <v>1188</v>
      </c>
      <c r="C8" s="7" t="s">
        <v>1164</v>
      </c>
      <c r="D8" s="7" t="s">
        <v>1189</v>
      </c>
      <c r="E8" s="7" t="s">
        <v>1182</v>
      </c>
      <c r="F8" s="7" t="s">
        <v>1190</v>
      </c>
      <c r="G8" s="7" t="s">
        <v>1191</v>
      </c>
      <c r="H8" s="7" t="s">
        <v>1192</v>
      </c>
      <c r="I8" s="19" t="s">
        <v>1170</v>
      </c>
      <c r="J8" s="7" t="s">
        <v>58</v>
      </c>
      <c r="K8" s="7" t="s">
        <v>1193</v>
      </c>
    </row>
    <row r="9" customFormat="false" ht="23.85" hidden="false" customHeight="false" outlineLevel="0" collapsed="false">
      <c r="A9" s="7" t="s">
        <v>1194</v>
      </c>
      <c r="B9" s="7" t="s">
        <v>1195</v>
      </c>
      <c r="C9" s="7" t="s">
        <v>1164</v>
      </c>
      <c r="D9" s="7" t="s">
        <v>1196</v>
      </c>
      <c r="E9" s="7" t="s">
        <v>1166</v>
      </c>
      <c r="F9" s="7" t="s">
        <v>1197</v>
      </c>
      <c r="G9" s="7" t="s">
        <v>1198</v>
      </c>
      <c r="H9" s="7" t="s">
        <v>1199</v>
      </c>
      <c r="I9" s="19" t="s">
        <v>1170</v>
      </c>
      <c r="J9" s="7" t="s">
        <v>60</v>
      </c>
      <c r="K9" s="7" t="s">
        <v>1200</v>
      </c>
    </row>
    <row r="10" customFormat="false" ht="15" hidden="false" customHeight="false" outlineLevel="0" collapsed="false">
      <c r="A10" s="7" t="s">
        <v>1201</v>
      </c>
      <c r="B10" s="7" t="s">
        <v>1202</v>
      </c>
      <c r="C10" s="7" t="s">
        <v>1164</v>
      </c>
      <c r="D10" s="7" t="s">
        <v>1203</v>
      </c>
      <c r="E10" s="7" t="s">
        <v>1166</v>
      </c>
      <c r="F10" s="7" t="s">
        <v>1204</v>
      </c>
      <c r="G10" s="7" t="s">
        <v>1205</v>
      </c>
      <c r="H10" s="7" t="s">
        <v>1192</v>
      </c>
      <c r="I10" s="19" t="s">
        <v>1170</v>
      </c>
      <c r="J10" s="7" t="s">
        <v>60</v>
      </c>
      <c r="K10" s="7" t="s">
        <v>1206</v>
      </c>
    </row>
    <row r="11" customFormat="false" ht="15" hidden="false" customHeight="false" outlineLevel="0" collapsed="false">
      <c r="A11" s="7" t="s">
        <v>1207</v>
      </c>
      <c r="B11" s="7" t="s">
        <v>1208</v>
      </c>
      <c r="C11" s="7" t="s">
        <v>1164</v>
      </c>
      <c r="D11" s="7" t="s">
        <v>1209</v>
      </c>
      <c r="E11" s="7" t="s">
        <v>1166</v>
      </c>
      <c r="F11" s="7" t="s">
        <v>1210</v>
      </c>
      <c r="G11" s="7" t="s">
        <v>1211</v>
      </c>
      <c r="H11" s="7" t="s">
        <v>1192</v>
      </c>
      <c r="I11" s="19" t="s">
        <v>1170</v>
      </c>
      <c r="J11" s="7" t="s">
        <v>60</v>
      </c>
      <c r="K11" s="7" t="s">
        <v>1212</v>
      </c>
    </row>
    <row r="12" customFormat="false" ht="23.85" hidden="false" customHeight="false" outlineLevel="0" collapsed="false">
      <c r="A12" s="7" t="s">
        <v>1213</v>
      </c>
      <c r="B12" s="7" t="s">
        <v>1214</v>
      </c>
      <c r="C12" s="7" t="s">
        <v>1164</v>
      </c>
      <c r="D12" s="7" t="s">
        <v>1215</v>
      </c>
      <c r="E12" s="7" t="s">
        <v>1182</v>
      </c>
      <c r="F12" s="7" t="s">
        <v>1216</v>
      </c>
      <c r="G12" s="7" t="s">
        <v>131</v>
      </c>
      <c r="H12" s="7" t="s">
        <v>1217</v>
      </c>
      <c r="I12" s="7" t="s">
        <v>1218</v>
      </c>
      <c r="J12" s="7" t="s">
        <v>58</v>
      </c>
      <c r="K12" s="7" t="s">
        <v>1219</v>
      </c>
    </row>
    <row r="13" customFormat="false" ht="23.85" hidden="false" customHeight="false" outlineLevel="0" collapsed="false">
      <c r="A13" s="7" t="s">
        <v>1220</v>
      </c>
      <c r="B13" s="7" t="s">
        <v>1221</v>
      </c>
      <c r="C13" s="7" t="s">
        <v>1222</v>
      </c>
      <c r="D13" s="7" t="s">
        <v>1223</v>
      </c>
      <c r="E13" s="7" t="s">
        <v>1182</v>
      </c>
      <c r="F13" s="7" t="s">
        <v>1224</v>
      </c>
      <c r="G13" s="7" t="s">
        <v>1225</v>
      </c>
      <c r="H13" s="7" t="s">
        <v>1226</v>
      </c>
      <c r="I13" s="20" t="s">
        <v>40</v>
      </c>
      <c r="J13" s="7" t="s">
        <v>60</v>
      </c>
      <c r="K13" s="7" t="s">
        <v>1227</v>
      </c>
    </row>
    <row r="14" customFormat="false" ht="23.85" hidden="false" customHeight="false" outlineLevel="0" collapsed="false">
      <c r="A14" s="7" t="s">
        <v>1228</v>
      </c>
      <c r="B14" s="7" t="s">
        <v>1229</v>
      </c>
      <c r="C14" s="7" t="s">
        <v>1222</v>
      </c>
      <c r="D14" s="7" t="s">
        <v>1230</v>
      </c>
      <c r="E14" s="7" t="s">
        <v>1182</v>
      </c>
      <c r="F14" s="7" t="s">
        <v>1231</v>
      </c>
      <c r="G14" s="7" t="s">
        <v>1232</v>
      </c>
      <c r="H14" s="7" t="s">
        <v>1192</v>
      </c>
      <c r="I14" s="20" t="s">
        <v>40</v>
      </c>
      <c r="J14" s="7" t="s">
        <v>1233</v>
      </c>
      <c r="K14" s="7" t="s">
        <v>1234</v>
      </c>
    </row>
    <row r="15" customFormat="false" ht="23.85" hidden="false" customHeight="false" outlineLevel="0" collapsed="false">
      <c r="A15" s="7" t="s">
        <v>1235</v>
      </c>
      <c r="B15" s="7" t="s">
        <v>1236</v>
      </c>
      <c r="C15" s="7" t="s">
        <v>1222</v>
      </c>
      <c r="D15" s="7" t="s">
        <v>1237</v>
      </c>
      <c r="E15" s="7" t="s">
        <v>1182</v>
      </c>
      <c r="F15" s="7" t="s">
        <v>1238</v>
      </c>
      <c r="G15" s="7" t="s">
        <v>575</v>
      </c>
      <c r="H15" s="7" t="s">
        <v>1239</v>
      </c>
      <c r="I15" s="7" t="s">
        <v>1240</v>
      </c>
      <c r="J15" s="7" t="s">
        <v>60</v>
      </c>
      <c r="K15" s="7" t="s">
        <v>1241</v>
      </c>
    </row>
    <row r="16" customFormat="false" ht="23.85" hidden="false" customHeight="false" outlineLevel="0" collapsed="false">
      <c r="A16" s="7" t="s">
        <v>1242</v>
      </c>
      <c r="B16" s="7" t="s">
        <v>1243</v>
      </c>
      <c r="C16" s="7" t="s">
        <v>1244</v>
      </c>
      <c r="D16" s="7" t="s">
        <v>1245</v>
      </c>
      <c r="E16" s="7" t="s">
        <v>1246</v>
      </c>
      <c r="F16" s="7" t="s">
        <v>1247</v>
      </c>
      <c r="G16" s="7" t="s">
        <v>1248</v>
      </c>
      <c r="H16" s="7" t="s">
        <v>1249</v>
      </c>
      <c r="I16" s="7" t="s">
        <v>1240</v>
      </c>
      <c r="J16" s="7" t="s">
        <v>60</v>
      </c>
      <c r="K16" s="7" t="s">
        <v>1250</v>
      </c>
    </row>
    <row r="17" customFormat="false" ht="23.85" hidden="false" customHeight="false" outlineLevel="0" collapsed="false">
      <c r="A17" s="7" t="s">
        <v>1251</v>
      </c>
      <c r="B17" s="7" t="s">
        <v>1252</v>
      </c>
      <c r="C17" s="7" t="s">
        <v>1244</v>
      </c>
      <c r="D17" s="7" t="s">
        <v>1253</v>
      </c>
      <c r="E17" s="7" t="s">
        <v>1254</v>
      </c>
      <c r="F17" s="7" t="s">
        <v>1255</v>
      </c>
      <c r="G17" s="7" t="s">
        <v>1256</v>
      </c>
      <c r="H17" s="7" t="s">
        <v>1199</v>
      </c>
      <c r="I17" s="7" t="s">
        <v>1257</v>
      </c>
      <c r="J17" s="7" t="s">
        <v>1233</v>
      </c>
      <c r="K17" s="7" t="s">
        <v>1258</v>
      </c>
    </row>
    <row r="18" customFormat="false" ht="23.85" hidden="false" customHeight="false" outlineLevel="0" collapsed="false">
      <c r="A18" s="7" t="s">
        <v>1259</v>
      </c>
      <c r="B18" s="7" t="s">
        <v>1260</v>
      </c>
      <c r="C18" s="7" t="s">
        <v>1244</v>
      </c>
      <c r="D18" s="7" t="s">
        <v>1261</v>
      </c>
      <c r="E18" s="7" t="s">
        <v>1262</v>
      </c>
      <c r="F18" s="7" t="s">
        <v>1210</v>
      </c>
      <c r="G18" s="7" t="s">
        <v>1263</v>
      </c>
      <c r="H18" s="7" t="s">
        <v>1192</v>
      </c>
      <c r="I18" s="20" t="s">
        <v>40</v>
      </c>
      <c r="J18" s="7" t="s">
        <v>58</v>
      </c>
      <c r="K18" s="7" t="s">
        <v>1264</v>
      </c>
    </row>
    <row r="19" customFormat="false" ht="23.85" hidden="false" customHeight="false" outlineLevel="0" collapsed="false">
      <c r="A19" s="7" t="s">
        <v>1265</v>
      </c>
      <c r="B19" s="7" t="s">
        <v>1266</v>
      </c>
      <c r="C19" s="7" t="s">
        <v>1244</v>
      </c>
      <c r="D19" s="7" t="s">
        <v>1267</v>
      </c>
      <c r="E19" s="7" t="s">
        <v>1268</v>
      </c>
      <c r="F19" s="7" t="s">
        <v>1269</v>
      </c>
      <c r="G19" s="7" t="s">
        <v>1270</v>
      </c>
      <c r="H19" s="7" t="s">
        <v>1199</v>
      </c>
      <c r="I19" s="7" t="s">
        <v>1240</v>
      </c>
      <c r="J19" s="7" t="s">
        <v>1233</v>
      </c>
      <c r="K19" s="7" t="s">
        <v>1271</v>
      </c>
    </row>
    <row r="20" customFormat="false" ht="35.05" hidden="false" customHeight="false" outlineLevel="0" collapsed="false">
      <c r="A20" s="7" t="s">
        <v>1272</v>
      </c>
      <c r="B20" s="7" t="s">
        <v>1273</v>
      </c>
      <c r="C20" s="7" t="s">
        <v>1244</v>
      </c>
      <c r="D20" s="7" t="s">
        <v>1274</v>
      </c>
      <c r="E20" s="7" t="s">
        <v>1275</v>
      </c>
      <c r="F20" s="7" t="s">
        <v>1276</v>
      </c>
      <c r="G20" s="7" t="s">
        <v>1277</v>
      </c>
      <c r="H20" s="7" t="s">
        <v>1199</v>
      </c>
      <c r="I20" s="7" t="s">
        <v>1240</v>
      </c>
      <c r="J20" s="7" t="s">
        <v>62</v>
      </c>
      <c r="K20" s="7" t="s">
        <v>1278</v>
      </c>
    </row>
    <row r="21" customFormat="false" ht="23.85" hidden="false" customHeight="false" outlineLevel="0" collapsed="false">
      <c r="A21" s="7" t="s">
        <v>1279</v>
      </c>
      <c r="B21" s="7" t="s">
        <v>1280</v>
      </c>
      <c r="C21" s="7" t="s">
        <v>1281</v>
      </c>
      <c r="D21" s="7" t="s">
        <v>1282</v>
      </c>
      <c r="E21" s="7" t="s">
        <v>1182</v>
      </c>
      <c r="F21" s="7" t="s">
        <v>1283</v>
      </c>
      <c r="G21" s="7" t="s">
        <v>1284</v>
      </c>
      <c r="H21" s="7" t="s">
        <v>1239</v>
      </c>
      <c r="I21" s="20" t="s">
        <v>40</v>
      </c>
      <c r="J21" s="7" t="s">
        <v>60</v>
      </c>
      <c r="K21" s="7" t="s">
        <v>1285</v>
      </c>
    </row>
    <row r="22" customFormat="false" ht="23.85" hidden="false" customHeight="false" outlineLevel="0" collapsed="false">
      <c r="A22" s="7" t="s">
        <v>1286</v>
      </c>
      <c r="B22" s="7" t="s">
        <v>1287</v>
      </c>
      <c r="C22" s="7" t="s">
        <v>1288</v>
      </c>
      <c r="D22" s="7" t="s">
        <v>1289</v>
      </c>
      <c r="E22" s="7" t="s">
        <v>1182</v>
      </c>
      <c r="F22" s="7" t="s">
        <v>1283</v>
      </c>
      <c r="G22" s="7" t="s">
        <v>1290</v>
      </c>
      <c r="H22" s="7" t="s">
        <v>1239</v>
      </c>
      <c r="I22" s="7" t="s">
        <v>1240</v>
      </c>
      <c r="J22" s="7" t="s">
        <v>60</v>
      </c>
      <c r="K22" s="7" t="s">
        <v>1291</v>
      </c>
    </row>
    <row r="23" customFormat="false" ht="23.85" hidden="false" customHeight="false" outlineLevel="0" collapsed="false">
      <c r="A23" s="7" t="s">
        <v>1292</v>
      </c>
      <c r="B23" s="7" t="s">
        <v>203</v>
      </c>
      <c r="C23" s="7" t="s">
        <v>1293</v>
      </c>
      <c r="D23" s="7" t="s">
        <v>1294</v>
      </c>
      <c r="E23" s="7" t="s">
        <v>1295</v>
      </c>
      <c r="F23" s="7" t="s">
        <v>1296</v>
      </c>
      <c r="G23" s="7" t="s">
        <v>1297</v>
      </c>
      <c r="H23" s="7" t="s">
        <v>1239</v>
      </c>
      <c r="I23" s="7" t="s">
        <v>1298</v>
      </c>
      <c r="J23" s="7" t="s">
        <v>58</v>
      </c>
      <c r="K23" s="7" t="s">
        <v>1299</v>
      </c>
    </row>
    <row r="24" customFormat="false" ht="23.85" hidden="false" customHeight="false" outlineLevel="0" collapsed="false">
      <c r="A24" s="7" t="s">
        <v>1300</v>
      </c>
      <c r="B24" s="7" t="s">
        <v>1301</v>
      </c>
      <c r="C24" s="7" t="s">
        <v>1302</v>
      </c>
      <c r="D24" s="7" t="s">
        <v>1303</v>
      </c>
      <c r="E24" s="7" t="s">
        <v>1182</v>
      </c>
      <c r="F24" s="7" t="s">
        <v>1296</v>
      </c>
      <c r="G24" s="7" t="s">
        <v>1304</v>
      </c>
      <c r="H24" s="7" t="s">
        <v>1239</v>
      </c>
      <c r="I24" s="7" t="s">
        <v>1240</v>
      </c>
      <c r="J24" s="7" t="s">
        <v>58</v>
      </c>
      <c r="K24" s="7" t="s">
        <v>1305</v>
      </c>
    </row>
    <row r="25" customFormat="false" ht="23.85" hidden="false" customHeight="false" outlineLevel="0" collapsed="false">
      <c r="A25" s="7" t="s">
        <v>1306</v>
      </c>
      <c r="B25" s="7" t="s">
        <v>1307</v>
      </c>
      <c r="C25" s="7" t="s">
        <v>1288</v>
      </c>
      <c r="D25" s="7" t="s">
        <v>1308</v>
      </c>
      <c r="E25" s="7" t="s">
        <v>1182</v>
      </c>
      <c r="F25" s="7" t="s">
        <v>1309</v>
      </c>
      <c r="G25" s="7" t="s">
        <v>1310</v>
      </c>
      <c r="H25" s="7" t="s">
        <v>1239</v>
      </c>
      <c r="I25" s="7" t="s">
        <v>1311</v>
      </c>
      <c r="J25" s="7" t="s">
        <v>60</v>
      </c>
      <c r="K25" s="7" t="s">
        <v>1312</v>
      </c>
    </row>
    <row r="26" customFormat="false" ht="23.85" hidden="false" customHeight="false" outlineLevel="0" collapsed="false">
      <c r="A26" s="7" t="s">
        <v>1313</v>
      </c>
      <c r="B26" s="7" t="s">
        <v>599</v>
      </c>
      <c r="C26" s="7" t="s">
        <v>1314</v>
      </c>
      <c r="D26" s="7" t="s">
        <v>1315</v>
      </c>
      <c r="E26" s="7" t="s">
        <v>1295</v>
      </c>
      <c r="F26" s="7" t="s">
        <v>164</v>
      </c>
      <c r="G26" s="7" t="s">
        <v>1316</v>
      </c>
      <c r="H26" s="7" t="s">
        <v>1239</v>
      </c>
      <c r="I26" s="7" t="s">
        <v>1240</v>
      </c>
      <c r="J26" s="7" t="s">
        <v>58</v>
      </c>
      <c r="K26" s="7" t="s">
        <v>1317</v>
      </c>
    </row>
    <row r="27" customFormat="false" ht="15" hidden="false" customHeight="false" outlineLevel="0" collapsed="false">
      <c r="A27" s="7" t="s">
        <v>1318</v>
      </c>
      <c r="B27" s="7" t="s">
        <v>525</v>
      </c>
      <c r="C27" s="7" t="s">
        <v>1319</v>
      </c>
      <c r="D27" s="7" t="s">
        <v>1320</v>
      </c>
      <c r="E27" s="7" t="s">
        <v>1321</v>
      </c>
      <c r="F27" s="7" t="s">
        <v>1322</v>
      </c>
      <c r="G27" s="7" t="s">
        <v>613</v>
      </c>
      <c r="H27" s="7" t="s">
        <v>189</v>
      </c>
      <c r="I27" s="20" t="s">
        <v>40</v>
      </c>
      <c r="J27" s="7" t="s">
        <v>60</v>
      </c>
      <c r="K27" s="7" t="s">
        <v>1323</v>
      </c>
    </row>
    <row r="28" customFormat="false" ht="23.85" hidden="false" customHeight="false" outlineLevel="0" collapsed="false">
      <c r="A28" s="7" t="s">
        <v>1324</v>
      </c>
      <c r="B28" s="7" t="s">
        <v>1325</v>
      </c>
      <c r="C28" s="7" t="s">
        <v>1319</v>
      </c>
      <c r="D28" s="7" t="s">
        <v>1326</v>
      </c>
      <c r="E28" s="7" t="s">
        <v>1182</v>
      </c>
      <c r="F28" s="7" t="s">
        <v>1327</v>
      </c>
      <c r="G28" s="7" t="s">
        <v>1328</v>
      </c>
      <c r="H28" s="7" t="s">
        <v>1192</v>
      </c>
      <c r="I28" s="20" t="s">
        <v>40</v>
      </c>
      <c r="J28" s="7" t="s">
        <v>1233</v>
      </c>
      <c r="K28" s="7" t="s">
        <v>1329</v>
      </c>
    </row>
    <row r="29" customFormat="false" ht="23.85" hidden="false" customHeight="false" outlineLevel="0" collapsed="false">
      <c r="A29" s="7" t="s">
        <v>1330</v>
      </c>
      <c r="B29" s="7" t="s">
        <v>1331</v>
      </c>
      <c r="C29" s="7" t="s">
        <v>1319</v>
      </c>
      <c r="D29" s="7" t="s">
        <v>1332</v>
      </c>
      <c r="E29" s="7" t="s">
        <v>1321</v>
      </c>
      <c r="F29" s="7" t="s">
        <v>1333</v>
      </c>
      <c r="G29" s="7" t="s">
        <v>1334</v>
      </c>
      <c r="H29" s="7" t="s">
        <v>1335</v>
      </c>
      <c r="I29" s="7" t="s">
        <v>1240</v>
      </c>
      <c r="J29" s="7" t="s">
        <v>60</v>
      </c>
      <c r="K29" s="7" t="s">
        <v>1336</v>
      </c>
    </row>
    <row r="30" customFormat="false" ht="23.85" hidden="false" customHeight="false" outlineLevel="0" collapsed="false">
      <c r="A30" s="7" t="s">
        <v>1337</v>
      </c>
      <c r="B30" s="7" t="s">
        <v>1338</v>
      </c>
      <c r="C30" s="7" t="s">
        <v>1339</v>
      </c>
      <c r="D30" s="7" t="s">
        <v>1340</v>
      </c>
      <c r="E30" s="7" t="s">
        <v>1341</v>
      </c>
      <c r="F30" s="7" t="s">
        <v>1342</v>
      </c>
      <c r="G30" s="7" t="s">
        <v>1343</v>
      </c>
      <c r="H30" s="7" t="s">
        <v>1344</v>
      </c>
      <c r="I30" s="20" t="s">
        <v>40</v>
      </c>
      <c r="J30" s="7" t="s">
        <v>58</v>
      </c>
      <c r="K30" s="7" t="s">
        <v>1345</v>
      </c>
    </row>
    <row r="31" customFormat="false" ht="15" hidden="false" customHeight="false" outlineLevel="0" collapsed="false">
      <c r="A31" s="7" t="s">
        <v>1346</v>
      </c>
      <c r="B31" s="7" t="s">
        <v>1347</v>
      </c>
      <c r="C31" s="7" t="s">
        <v>1348</v>
      </c>
      <c r="D31" s="7" t="s">
        <v>1349</v>
      </c>
      <c r="E31" s="7" t="s">
        <v>1350</v>
      </c>
      <c r="F31" s="7" t="s">
        <v>197</v>
      </c>
      <c r="G31" s="7" t="s">
        <v>1351</v>
      </c>
      <c r="H31" s="7" t="s">
        <v>1352</v>
      </c>
      <c r="I31" s="7" t="s">
        <v>1240</v>
      </c>
      <c r="J31" s="7" t="s">
        <v>62</v>
      </c>
      <c r="K31" s="7" t="s">
        <v>1353</v>
      </c>
    </row>
    <row r="32" customFormat="false" ht="15" hidden="false" customHeight="false" outlineLevel="0" collapsed="false">
      <c r="A32" s="7" t="s">
        <v>1354</v>
      </c>
      <c r="B32" s="7" t="s">
        <v>1355</v>
      </c>
      <c r="C32" s="7" t="s">
        <v>1356</v>
      </c>
      <c r="D32" s="7" t="s">
        <v>1357</v>
      </c>
      <c r="E32" s="7" t="s">
        <v>1182</v>
      </c>
      <c r="F32" s="7" t="s">
        <v>164</v>
      </c>
      <c r="G32" s="7" t="s">
        <v>236</v>
      </c>
      <c r="H32" s="7" t="s">
        <v>1358</v>
      </c>
      <c r="I32" s="20" t="s">
        <v>40</v>
      </c>
      <c r="J32" s="7" t="s">
        <v>58</v>
      </c>
      <c r="K32" s="7" t="s">
        <v>1359</v>
      </c>
    </row>
    <row r="33" customFormat="false" ht="23.85" hidden="false" customHeight="false" outlineLevel="0" collapsed="false">
      <c r="A33" s="7" t="s">
        <v>1360</v>
      </c>
      <c r="B33" s="7" t="s">
        <v>1361</v>
      </c>
      <c r="C33" s="7" t="s">
        <v>1362</v>
      </c>
      <c r="D33" s="7" t="s">
        <v>1363</v>
      </c>
      <c r="E33" s="7" t="s">
        <v>1364</v>
      </c>
      <c r="F33" s="7" t="s">
        <v>1365</v>
      </c>
      <c r="G33" s="7" t="s">
        <v>1366</v>
      </c>
      <c r="H33" s="7" t="s">
        <v>1192</v>
      </c>
      <c r="I33" s="19" t="s">
        <v>1367</v>
      </c>
      <c r="J33" s="7" t="s">
        <v>58</v>
      </c>
      <c r="K33" s="7" t="s">
        <v>1368</v>
      </c>
    </row>
    <row r="34" customFormat="false" ht="23.85" hidden="false" customHeight="false" outlineLevel="0" collapsed="false">
      <c r="A34" s="7" t="s">
        <v>1369</v>
      </c>
      <c r="B34" s="7" t="s">
        <v>1370</v>
      </c>
      <c r="C34" s="7" t="s">
        <v>1371</v>
      </c>
      <c r="D34" s="7" t="s">
        <v>1372</v>
      </c>
      <c r="E34" s="7" t="s">
        <v>1373</v>
      </c>
      <c r="F34" s="7" t="s">
        <v>1374</v>
      </c>
      <c r="G34" s="7" t="s">
        <v>1375</v>
      </c>
      <c r="H34" s="7" t="s">
        <v>189</v>
      </c>
      <c r="I34" s="19" t="s">
        <v>1376</v>
      </c>
      <c r="J34" s="7" t="s">
        <v>60</v>
      </c>
      <c r="K34" s="7" t="s">
        <v>1377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40"/>
    <col collapsed="false" customWidth="true" hidden="false" outlineLevel="0" max="11" min="11" style="0" width="8"/>
  </cols>
  <sheetData>
    <row r="1" customFormat="false" ht="18.55" hidden="false" customHeight="false" outlineLevel="0" collapsed="false">
      <c r="A1" s="1" t="s">
        <v>1378</v>
      </c>
    </row>
    <row r="2" customFormat="false" ht="15" hidden="false" customHeight="false" outlineLevel="0" collapsed="false">
      <c r="A2" s="2" t="s">
        <v>1379</v>
      </c>
    </row>
    <row r="4" customFormat="false" ht="23.85" hidden="false" customHeight="false" outlineLevel="0" collapsed="false">
      <c r="A4" s="6" t="s">
        <v>79</v>
      </c>
      <c r="B4" s="6" t="s">
        <v>1380</v>
      </c>
      <c r="C4" s="6" t="s">
        <v>1381</v>
      </c>
      <c r="D4" s="6" t="s">
        <v>1382</v>
      </c>
      <c r="E4" s="6" t="s">
        <v>1383</v>
      </c>
      <c r="F4" s="6" t="s">
        <v>1384</v>
      </c>
      <c r="G4" s="6" t="s">
        <v>1385</v>
      </c>
      <c r="H4" s="6" t="s">
        <v>1386</v>
      </c>
      <c r="I4" s="6" t="s">
        <v>1387</v>
      </c>
      <c r="J4" s="6" t="s">
        <v>1388</v>
      </c>
      <c r="K4" s="6" t="s">
        <v>1389</v>
      </c>
    </row>
    <row r="5" customFormat="false" ht="23.85" hidden="false" customHeight="false" outlineLevel="0" collapsed="false">
      <c r="A5" s="7" t="s">
        <v>1390</v>
      </c>
      <c r="B5" s="7" t="s">
        <v>1391</v>
      </c>
      <c r="C5" s="7" t="s">
        <v>1392</v>
      </c>
      <c r="D5" s="7" t="s">
        <v>1393</v>
      </c>
      <c r="E5" s="7" t="s">
        <v>1394</v>
      </c>
      <c r="F5" s="7" t="s">
        <v>1395</v>
      </c>
      <c r="G5" s="7" t="s">
        <v>1396</v>
      </c>
      <c r="H5" s="7" t="s">
        <v>1397</v>
      </c>
      <c r="I5" s="9" t="s">
        <v>1398</v>
      </c>
      <c r="J5" s="7" t="s">
        <v>1399</v>
      </c>
      <c r="K5" s="7" t="s">
        <v>58</v>
      </c>
    </row>
    <row r="6" customFormat="false" ht="23.85" hidden="false" customHeight="false" outlineLevel="0" collapsed="false">
      <c r="A6" s="7" t="s">
        <v>1400</v>
      </c>
      <c r="B6" s="7" t="s">
        <v>1401</v>
      </c>
      <c r="C6" s="7" t="s">
        <v>1402</v>
      </c>
      <c r="D6" s="7" t="s">
        <v>1403</v>
      </c>
      <c r="E6" s="7" t="s">
        <v>1404</v>
      </c>
      <c r="F6" s="7" t="s">
        <v>1405</v>
      </c>
      <c r="G6" s="7" t="s">
        <v>1406</v>
      </c>
      <c r="H6" s="7" t="s">
        <v>1407</v>
      </c>
      <c r="I6" s="9" t="s">
        <v>1408</v>
      </c>
      <c r="J6" s="7" t="s">
        <v>1409</v>
      </c>
      <c r="K6" s="7" t="s">
        <v>58</v>
      </c>
    </row>
    <row r="7" customFormat="false" ht="23.85" hidden="false" customHeight="false" outlineLevel="0" collapsed="false">
      <c r="A7" s="7" t="s">
        <v>1410</v>
      </c>
      <c r="B7" s="7" t="s">
        <v>1411</v>
      </c>
      <c r="C7" s="7" t="s">
        <v>1412</v>
      </c>
      <c r="D7" s="7" t="s">
        <v>1413</v>
      </c>
      <c r="E7" s="7" t="s">
        <v>1414</v>
      </c>
      <c r="F7" s="7" t="s">
        <v>1415</v>
      </c>
      <c r="G7" s="7" t="s">
        <v>1416</v>
      </c>
      <c r="H7" s="7" t="s">
        <v>1407</v>
      </c>
      <c r="I7" s="9" t="s">
        <v>1408</v>
      </c>
      <c r="J7" s="7" t="s">
        <v>1417</v>
      </c>
      <c r="K7" s="7" t="s">
        <v>58</v>
      </c>
    </row>
    <row r="8" customFormat="false" ht="23.85" hidden="false" customHeight="false" outlineLevel="0" collapsed="false">
      <c r="A8" s="7" t="s">
        <v>1418</v>
      </c>
      <c r="B8" s="7" t="s">
        <v>1419</v>
      </c>
      <c r="C8" s="7" t="s">
        <v>1420</v>
      </c>
      <c r="D8" s="7" t="s">
        <v>1421</v>
      </c>
      <c r="E8" s="7" t="s">
        <v>1422</v>
      </c>
      <c r="F8" s="7" t="s">
        <v>1423</v>
      </c>
      <c r="G8" s="7" t="s">
        <v>1424</v>
      </c>
      <c r="H8" s="7" t="s">
        <v>1407</v>
      </c>
      <c r="I8" s="9" t="s">
        <v>1425</v>
      </c>
      <c r="J8" s="7" t="s">
        <v>1426</v>
      </c>
      <c r="K8" s="7" t="s">
        <v>58</v>
      </c>
    </row>
    <row r="9" customFormat="false" ht="23.85" hidden="false" customHeight="false" outlineLevel="0" collapsed="false">
      <c r="A9" s="7" t="s">
        <v>1427</v>
      </c>
      <c r="B9" s="7" t="s">
        <v>1428</v>
      </c>
      <c r="C9" s="7" t="s">
        <v>1429</v>
      </c>
      <c r="D9" s="7" t="s">
        <v>1430</v>
      </c>
      <c r="E9" s="7" t="s">
        <v>1431</v>
      </c>
      <c r="F9" s="7" t="s">
        <v>1432</v>
      </c>
      <c r="G9" s="7" t="s">
        <v>1433</v>
      </c>
      <c r="H9" s="7" t="s">
        <v>1407</v>
      </c>
      <c r="I9" s="9" t="s">
        <v>1425</v>
      </c>
      <c r="J9" s="7" t="s">
        <v>1434</v>
      </c>
      <c r="K9" s="7" t="s">
        <v>58</v>
      </c>
    </row>
    <row r="10" customFormat="false" ht="23.85" hidden="false" customHeight="false" outlineLevel="0" collapsed="false">
      <c r="A10" s="7" t="s">
        <v>1435</v>
      </c>
      <c r="B10" s="7" t="s">
        <v>1436</v>
      </c>
      <c r="C10" s="7" t="s">
        <v>1437</v>
      </c>
      <c r="D10" s="7" t="s">
        <v>1438</v>
      </c>
      <c r="E10" s="7" t="s">
        <v>1439</v>
      </c>
      <c r="F10" s="7" t="s">
        <v>1440</v>
      </c>
      <c r="G10" s="7" t="s">
        <v>1441</v>
      </c>
      <c r="H10" s="7" t="s">
        <v>1442</v>
      </c>
      <c r="I10" s="9" t="s">
        <v>1425</v>
      </c>
      <c r="J10" s="7" t="s">
        <v>1443</v>
      </c>
      <c r="K10" s="7" t="s">
        <v>58</v>
      </c>
    </row>
    <row r="11" customFormat="false" ht="23.85" hidden="false" customHeight="false" outlineLevel="0" collapsed="false">
      <c r="A11" s="7" t="s">
        <v>1444</v>
      </c>
      <c r="B11" s="7" t="s">
        <v>1445</v>
      </c>
      <c r="C11" s="7" t="s">
        <v>1446</v>
      </c>
      <c r="D11" s="7" t="s">
        <v>1447</v>
      </c>
      <c r="E11" s="7" t="s">
        <v>1448</v>
      </c>
      <c r="F11" s="7" t="s">
        <v>1449</v>
      </c>
      <c r="G11" s="7" t="s">
        <v>1450</v>
      </c>
      <c r="H11" s="7" t="s">
        <v>1407</v>
      </c>
      <c r="I11" s="9" t="s">
        <v>1451</v>
      </c>
      <c r="J11" s="7" t="s">
        <v>1452</v>
      </c>
      <c r="K11" s="7" t="s">
        <v>58</v>
      </c>
    </row>
    <row r="12" customFormat="false" ht="23.85" hidden="false" customHeight="false" outlineLevel="0" collapsed="false">
      <c r="A12" s="7" t="s">
        <v>1453</v>
      </c>
      <c r="B12" s="7" t="s">
        <v>1454</v>
      </c>
      <c r="C12" s="7" t="s">
        <v>1455</v>
      </c>
      <c r="D12" s="7" t="s">
        <v>1456</v>
      </c>
      <c r="E12" s="7" t="s">
        <v>1457</v>
      </c>
      <c r="F12" s="7" t="s">
        <v>1458</v>
      </c>
      <c r="G12" s="7" t="s">
        <v>1459</v>
      </c>
      <c r="H12" s="7" t="s">
        <v>1460</v>
      </c>
      <c r="I12" s="9" t="s">
        <v>1451</v>
      </c>
      <c r="J12" s="7" t="s">
        <v>1461</v>
      </c>
      <c r="K12" s="7" t="s">
        <v>58</v>
      </c>
    </row>
    <row r="13" customFormat="false" ht="23.85" hidden="false" customHeight="false" outlineLevel="0" collapsed="false">
      <c r="A13" s="7" t="s">
        <v>1462</v>
      </c>
      <c r="B13" s="7" t="s">
        <v>1463</v>
      </c>
      <c r="C13" s="7" t="s">
        <v>1464</v>
      </c>
      <c r="D13" s="7" t="s">
        <v>1465</v>
      </c>
      <c r="E13" s="7" t="s">
        <v>1466</v>
      </c>
      <c r="F13" s="7" t="s">
        <v>1467</v>
      </c>
      <c r="G13" s="7" t="s">
        <v>1468</v>
      </c>
      <c r="H13" s="7" t="s">
        <v>1407</v>
      </c>
      <c r="I13" s="9" t="s">
        <v>1451</v>
      </c>
      <c r="J13" s="7" t="s">
        <v>1469</v>
      </c>
      <c r="K13" s="7" t="s">
        <v>58</v>
      </c>
    </row>
    <row r="14" customFormat="false" ht="23.85" hidden="false" customHeight="false" outlineLevel="0" collapsed="false">
      <c r="A14" s="7" t="s">
        <v>1470</v>
      </c>
      <c r="B14" s="7" t="s">
        <v>1471</v>
      </c>
      <c r="C14" s="7" t="s">
        <v>1472</v>
      </c>
      <c r="D14" s="7" t="s">
        <v>1473</v>
      </c>
      <c r="E14" s="7" t="s">
        <v>1474</v>
      </c>
      <c r="F14" s="7" t="s">
        <v>1475</v>
      </c>
      <c r="G14" s="7" t="s">
        <v>1476</v>
      </c>
      <c r="H14" s="7" t="s">
        <v>1407</v>
      </c>
      <c r="I14" s="9" t="s">
        <v>1425</v>
      </c>
      <c r="J14" s="7" t="s">
        <v>1477</v>
      </c>
      <c r="K14" s="7" t="s">
        <v>60</v>
      </c>
    </row>
    <row r="15" customFormat="false" ht="23.85" hidden="false" customHeight="false" outlineLevel="0" collapsed="false">
      <c r="A15" s="7" t="s">
        <v>1478</v>
      </c>
      <c r="B15" s="7" t="s">
        <v>1479</v>
      </c>
      <c r="C15" s="7" t="s">
        <v>1480</v>
      </c>
      <c r="D15" s="7" t="s">
        <v>1481</v>
      </c>
      <c r="E15" s="7" t="s">
        <v>1482</v>
      </c>
      <c r="F15" s="7" t="s">
        <v>1483</v>
      </c>
      <c r="G15" s="7" t="s">
        <v>1484</v>
      </c>
      <c r="H15" s="7" t="s">
        <v>1407</v>
      </c>
      <c r="I15" s="9" t="s">
        <v>1451</v>
      </c>
      <c r="J15" s="7" t="s">
        <v>1485</v>
      </c>
      <c r="K15" s="7" t="s">
        <v>60</v>
      </c>
    </row>
    <row r="16" customFormat="false" ht="23.85" hidden="false" customHeight="false" outlineLevel="0" collapsed="false">
      <c r="A16" s="7" t="s">
        <v>1486</v>
      </c>
      <c r="B16" s="7" t="s">
        <v>1487</v>
      </c>
      <c r="C16" s="7" t="s">
        <v>1488</v>
      </c>
      <c r="D16" s="7" t="s">
        <v>1489</v>
      </c>
      <c r="E16" s="7" t="s">
        <v>1490</v>
      </c>
      <c r="F16" s="7" t="s">
        <v>1491</v>
      </c>
      <c r="G16" s="7" t="s">
        <v>1492</v>
      </c>
      <c r="H16" s="7" t="s">
        <v>1407</v>
      </c>
      <c r="I16" s="9" t="s">
        <v>1493</v>
      </c>
      <c r="J16" s="7" t="s">
        <v>1494</v>
      </c>
      <c r="K16" s="7" t="s">
        <v>58</v>
      </c>
    </row>
    <row r="17" customFormat="false" ht="23.85" hidden="false" customHeight="false" outlineLevel="0" collapsed="false">
      <c r="A17" s="7" t="s">
        <v>1495</v>
      </c>
      <c r="B17" s="7" t="s">
        <v>1496</v>
      </c>
      <c r="C17" s="7" t="s">
        <v>1497</v>
      </c>
      <c r="D17" s="7" t="s">
        <v>1498</v>
      </c>
      <c r="E17" s="7" t="s">
        <v>1499</v>
      </c>
      <c r="F17" s="7" t="s">
        <v>1500</v>
      </c>
      <c r="G17" s="7" t="s">
        <v>1501</v>
      </c>
      <c r="H17" s="7" t="s">
        <v>1407</v>
      </c>
      <c r="I17" s="9" t="s">
        <v>1502</v>
      </c>
      <c r="J17" s="7" t="s">
        <v>1503</v>
      </c>
      <c r="K17" s="7" t="s">
        <v>60</v>
      </c>
    </row>
    <row r="18" customFormat="false" ht="35.05" hidden="false" customHeight="false" outlineLevel="0" collapsed="false">
      <c r="A18" s="7" t="s">
        <v>1504</v>
      </c>
      <c r="B18" s="7" t="s">
        <v>1505</v>
      </c>
      <c r="C18" s="7" t="s">
        <v>1506</v>
      </c>
      <c r="D18" s="7" t="s">
        <v>1507</v>
      </c>
      <c r="E18" s="7" t="s">
        <v>1508</v>
      </c>
      <c r="F18" s="7" t="s">
        <v>1509</v>
      </c>
      <c r="G18" s="7" t="s">
        <v>1510</v>
      </c>
      <c r="H18" s="7" t="s">
        <v>1407</v>
      </c>
      <c r="I18" s="9" t="s">
        <v>1502</v>
      </c>
      <c r="J18" s="7" t="s">
        <v>1511</v>
      </c>
      <c r="K18" s="7" t="s">
        <v>58</v>
      </c>
    </row>
    <row r="19" customFormat="false" ht="23.85" hidden="false" customHeight="false" outlineLevel="0" collapsed="false">
      <c r="A19" s="7" t="s">
        <v>1512</v>
      </c>
      <c r="B19" s="7" t="s">
        <v>1513</v>
      </c>
      <c r="C19" s="7" t="s">
        <v>1514</v>
      </c>
      <c r="D19" s="7" t="s">
        <v>1515</v>
      </c>
      <c r="E19" s="7" t="s">
        <v>1516</v>
      </c>
      <c r="F19" s="7" t="s">
        <v>1517</v>
      </c>
      <c r="G19" s="7" t="s">
        <v>1518</v>
      </c>
      <c r="H19" s="7" t="s">
        <v>1407</v>
      </c>
      <c r="I19" s="9" t="s">
        <v>1493</v>
      </c>
      <c r="J19" s="7" t="s">
        <v>1519</v>
      </c>
      <c r="K19" s="7" t="s">
        <v>58</v>
      </c>
    </row>
    <row r="20" customFormat="false" ht="23.85" hidden="false" customHeight="false" outlineLevel="0" collapsed="false">
      <c r="A20" s="7" t="s">
        <v>1520</v>
      </c>
      <c r="B20" s="7" t="s">
        <v>1521</v>
      </c>
      <c r="C20" s="7" t="s">
        <v>1522</v>
      </c>
      <c r="D20" s="7" t="s">
        <v>1523</v>
      </c>
      <c r="E20" s="7" t="s">
        <v>1524</v>
      </c>
      <c r="F20" s="7" t="s">
        <v>1525</v>
      </c>
      <c r="G20" s="7" t="s">
        <v>1526</v>
      </c>
      <c r="H20" s="7" t="s">
        <v>1527</v>
      </c>
      <c r="I20" s="9" t="s">
        <v>1493</v>
      </c>
      <c r="J20" s="7" t="s">
        <v>1528</v>
      </c>
      <c r="K20" s="7" t="s">
        <v>58</v>
      </c>
    </row>
    <row r="21" customFormat="false" ht="23.85" hidden="false" customHeight="false" outlineLevel="0" collapsed="false">
      <c r="A21" s="7" t="s">
        <v>1529</v>
      </c>
      <c r="B21" s="7" t="s">
        <v>1530</v>
      </c>
      <c r="C21" s="7" t="s">
        <v>1531</v>
      </c>
      <c r="D21" s="7" t="s">
        <v>1532</v>
      </c>
      <c r="E21" s="7" t="s">
        <v>1533</v>
      </c>
      <c r="F21" s="7" t="s">
        <v>1534</v>
      </c>
      <c r="G21" s="7" t="s">
        <v>1535</v>
      </c>
      <c r="H21" s="7" t="s">
        <v>1407</v>
      </c>
      <c r="I21" s="9" t="s">
        <v>1502</v>
      </c>
      <c r="J21" s="7" t="s">
        <v>1536</v>
      </c>
      <c r="K21" s="7" t="s">
        <v>58</v>
      </c>
    </row>
    <row r="22" customFormat="false" ht="15" hidden="false" customHeight="false" outlineLevel="0" collapsed="false">
      <c r="A22" s="7" t="s">
        <v>1537</v>
      </c>
      <c r="B22" s="7" t="s">
        <v>1538</v>
      </c>
      <c r="C22" s="7" t="s">
        <v>1539</v>
      </c>
      <c r="D22" s="7" t="s">
        <v>1540</v>
      </c>
      <c r="E22" s="7" t="s">
        <v>1541</v>
      </c>
      <c r="F22" s="7" t="s">
        <v>1542</v>
      </c>
      <c r="G22" s="7" t="s">
        <v>1543</v>
      </c>
      <c r="H22" s="7" t="s">
        <v>1544</v>
      </c>
      <c r="I22" s="9" t="s">
        <v>1502</v>
      </c>
      <c r="J22" s="7" t="s">
        <v>1545</v>
      </c>
      <c r="K22" s="7" t="s">
        <v>58</v>
      </c>
    </row>
    <row r="23" customFormat="false" ht="23.85" hidden="false" customHeight="false" outlineLevel="0" collapsed="false">
      <c r="A23" s="7" t="s">
        <v>1546</v>
      </c>
      <c r="B23" s="7" t="s">
        <v>1547</v>
      </c>
      <c r="C23" s="7" t="s">
        <v>1548</v>
      </c>
      <c r="D23" s="7" t="s">
        <v>1549</v>
      </c>
      <c r="E23" s="7" t="s">
        <v>1550</v>
      </c>
      <c r="F23" s="7" t="s">
        <v>1551</v>
      </c>
      <c r="G23" s="7" t="s">
        <v>1552</v>
      </c>
      <c r="H23" s="7" t="s">
        <v>1407</v>
      </c>
      <c r="I23" s="9" t="s">
        <v>1502</v>
      </c>
      <c r="J23" s="7" t="s">
        <v>1553</v>
      </c>
      <c r="K23" s="7" t="s">
        <v>58</v>
      </c>
    </row>
    <row r="24" customFormat="false" ht="15" hidden="false" customHeight="false" outlineLevel="0" collapsed="false">
      <c r="A24" s="7" t="s">
        <v>1554</v>
      </c>
      <c r="B24" s="7" t="s">
        <v>1555</v>
      </c>
      <c r="C24" s="7" t="s">
        <v>1556</v>
      </c>
      <c r="D24" s="7" t="s">
        <v>1557</v>
      </c>
      <c r="E24" s="7" t="s">
        <v>1558</v>
      </c>
      <c r="F24" s="7" t="s">
        <v>1559</v>
      </c>
      <c r="G24" s="7" t="s">
        <v>1560</v>
      </c>
      <c r="H24" s="7" t="s">
        <v>1407</v>
      </c>
      <c r="I24" s="9" t="s">
        <v>1502</v>
      </c>
      <c r="J24" s="7" t="s">
        <v>1561</v>
      </c>
      <c r="K24" s="7" t="s">
        <v>60</v>
      </c>
    </row>
    <row r="25" customFormat="false" ht="35.05" hidden="false" customHeight="false" outlineLevel="0" collapsed="false">
      <c r="A25" s="7" t="s">
        <v>1562</v>
      </c>
      <c r="B25" s="7" t="s">
        <v>932</v>
      </c>
      <c r="C25" s="7" t="s">
        <v>1563</v>
      </c>
      <c r="D25" s="7" t="s">
        <v>1564</v>
      </c>
      <c r="E25" s="7" t="s">
        <v>1565</v>
      </c>
      <c r="F25" s="7" t="s">
        <v>1566</v>
      </c>
      <c r="G25" s="7" t="s">
        <v>1567</v>
      </c>
      <c r="H25" s="7" t="s">
        <v>1568</v>
      </c>
      <c r="I25" s="9" t="s">
        <v>1425</v>
      </c>
      <c r="J25" s="7" t="s">
        <v>1569</v>
      </c>
      <c r="K25" s="7" t="s">
        <v>58</v>
      </c>
    </row>
    <row r="26" customFormat="false" ht="23.85" hidden="false" customHeight="false" outlineLevel="0" collapsed="false">
      <c r="A26" s="7" t="s">
        <v>1570</v>
      </c>
      <c r="B26" s="7" t="s">
        <v>1571</v>
      </c>
      <c r="C26" s="7" t="s">
        <v>1572</v>
      </c>
      <c r="D26" s="7" t="s">
        <v>1564</v>
      </c>
      <c r="E26" s="7" t="s">
        <v>1573</v>
      </c>
      <c r="F26" s="7" t="s">
        <v>1080</v>
      </c>
      <c r="G26" s="7" t="s">
        <v>1574</v>
      </c>
      <c r="H26" s="7" t="s">
        <v>1407</v>
      </c>
      <c r="I26" s="9" t="s">
        <v>1425</v>
      </c>
      <c r="J26" s="7" t="s">
        <v>1575</v>
      </c>
      <c r="K26" s="7" t="s">
        <v>58</v>
      </c>
    </row>
    <row r="27" customFormat="false" ht="23.85" hidden="false" customHeight="false" outlineLevel="0" collapsed="false">
      <c r="A27" s="7" t="s">
        <v>1576</v>
      </c>
      <c r="B27" s="7" t="s">
        <v>1577</v>
      </c>
      <c r="C27" s="7" t="s">
        <v>1578</v>
      </c>
      <c r="D27" s="7" t="s">
        <v>1564</v>
      </c>
      <c r="E27" s="7" t="s">
        <v>1579</v>
      </c>
      <c r="F27" s="7" t="s">
        <v>1580</v>
      </c>
      <c r="G27" s="7" t="s">
        <v>1581</v>
      </c>
      <c r="H27" s="7" t="s">
        <v>1582</v>
      </c>
      <c r="I27" s="9" t="s">
        <v>1425</v>
      </c>
      <c r="J27" s="7" t="s">
        <v>950</v>
      </c>
      <c r="K27" s="7" t="s">
        <v>58</v>
      </c>
    </row>
    <row r="28" customFormat="false" ht="23.85" hidden="false" customHeight="false" outlineLevel="0" collapsed="false">
      <c r="A28" s="7" t="s">
        <v>1583</v>
      </c>
      <c r="B28" s="7" t="s">
        <v>1584</v>
      </c>
      <c r="C28" s="7" t="s">
        <v>1585</v>
      </c>
      <c r="D28" s="7" t="s">
        <v>1586</v>
      </c>
      <c r="E28" s="7" t="s">
        <v>1587</v>
      </c>
      <c r="F28" s="7" t="s">
        <v>1588</v>
      </c>
      <c r="G28" s="7" t="s">
        <v>1589</v>
      </c>
      <c r="H28" s="7" t="s">
        <v>1407</v>
      </c>
      <c r="I28" s="9" t="s">
        <v>1451</v>
      </c>
      <c r="J28" s="7" t="s">
        <v>1590</v>
      </c>
      <c r="K28" s="7" t="s">
        <v>58</v>
      </c>
    </row>
    <row r="29" customFormat="false" ht="23.85" hidden="false" customHeight="false" outlineLevel="0" collapsed="false">
      <c r="A29" s="7" t="s">
        <v>1591</v>
      </c>
      <c r="B29" s="7" t="s">
        <v>1592</v>
      </c>
      <c r="C29" s="7" t="s">
        <v>1593</v>
      </c>
      <c r="D29" s="7" t="s">
        <v>1594</v>
      </c>
      <c r="E29" s="7" t="s">
        <v>1595</v>
      </c>
      <c r="F29" s="7" t="s">
        <v>1596</v>
      </c>
      <c r="G29" s="7" t="s">
        <v>1597</v>
      </c>
      <c r="H29" s="7" t="s">
        <v>1598</v>
      </c>
      <c r="I29" s="9" t="s">
        <v>1502</v>
      </c>
      <c r="J29" s="7" t="s">
        <v>1599</v>
      </c>
      <c r="K29" s="7" t="s">
        <v>58</v>
      </c>
    </row>
    <row r="30" customFormat="false" ht="23.85" hidden="false" customHeight="false" outlineLevel="0" collapsed="false">
      <c r="A30" s="7" t="s">
        <v>1600</v>
      </c>
      <c r="B30" s="7" t="s">
        <v>1601</v>
      </c>
      <c r="C30" s="7" t="s">
        <v>1602</v>
      </c>
      <c r="D30" s="7" t="s">
        <v>1603</v>
      </c>
      <c r="E30" s="7" t="s">
        <v>1604</v>
      </c>
      <c r="F30" s="7" t="s">
        <v>1080</v>
      </c>
      <c r="G30" s="7" t="s">
        <v>1605</v>
      </c>
      <c r="H30" s="7" t="s">
        <v>1407</v>
      </c>
      <c r="I30" s="9" t="s">
        <v>234</v>
      </c>
      <c r="J30" s="7" t="s">
        <v>1606</v>
      </c>
      <c r="K30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1607</v>
      </c>
    </row>
    <row r="4" customFormat="false" ht="15" hidden="false" customHeight="false" outlineLevel="0" collapsed="false">
      <c r="A4" s="6" t="s">
        <v>102</v>
      </c>
      <c r="B4" s="6" t="s">
        <v>1608</v>
      </c>
      <c r="C4" s="6" t="s">
        <v>1609</v>
      </c>
      <c r="D4" s="6" t="s">
        <v>1610</v>
      </c>
      <c r="E4" s="6" t="s">
        <v>1611</v>
      </c>
      <c r="F4" s="6" t="s">
        <v>1612</v>
      </c>
      <c r="G4" s="6" t="s">
        <v>1613</v>
      </c>
    </row>
    <row r="5" customFormat="false" ht="23.85" hidden="false" customHeight="false" outlineLevel="0" collapsed="false">
      <c r="A5" s="11" t="s">
        <v>127</v>
      </c>
      <c r="B5" s="7" t="s">
        <v>1614</v>
      </c>
      <c r="C5" s="7" t="s">
        <v>1615</v>
      </c>
      <c r="D5" s="7" t="s">
        <v>1616</v>
      </c>
      <c r="E5" s="7" t="s">
        <v>1617</v>
      </c>
      <c r="F5" s="7" t="s">
        <v>1618</v>
      </c>
      <c r="G5" s="7" t="s">
        <v>1619</v>
      </c>
    </row>
    <row r="6" customFormat="false" ht="15" hidden="false" customHeight="false" outlineLevel="0" collapsed="false">
      <c r="A6" s="11" t="s">
        <v>127</v>
      </c>
      <c r="B6" s="7" t="s">
        <v>1620</v>
      </c>
      <c r="C6" s="7" t="s">
        <v>1621</v>
      </c>
      <c r="D6" s="7" t="s">
        <v>191</v>
      </c>
      <c r="E6" s="7" t="s">
        <v>1622</v>
      </c>
      <c r="F6" s="7" t="s">
        <v>1623</v>
      </c>
      <c r="G6" s="7" t="s">
        <v>182</v>
      </c>
    </row>
    <row r="7" customFormat="false" ht="15" hidden="false" customHeight="false" outlineLevel="0" collapsed="false">
      <c r="A7" s="11" t="s">
        <v>127</v>
      </c>
      <c r="B7" s="7" t="s">
        <v>1620</v>
      </c>
      <c r="C7" s="7" t="s">
        <v>174</v>
      </c>
      <c r="D7" s="7" t="s">
        <v>1624</v>
      </c>
      <c r="E7" s="7" t="s">
        <v>1622</v>
      </c>
      <c r="F7" s="7" t="s">
        <v>1625</v>
      </c>
      <c r="G7" s="7" t="s">
        <v>201</v>
      </c>
    </row>
    <row r="8" customFormat="false" ht="23.85" hidden="false" customHeight="false" outlineLevel="0" collapsed="false">
      <c r="A8" s="11" t="s">
        <v>127</v>
      </c>
      <c r="B8" s="7" t="s">
        <v>1620</v>
      </c>
      <c r="C8" s="7" t="s">
        <v>1626</v>
      </c>
      <c r="D8" s="7" t="s">
        <v>1627</v>
      </c>
      <c r="E8" s="7" t="s">
        <v>1628</v>
      </c>
      <c r="F8" s="7" t="s">
        <v>1623</v>
      </c>
      <c r="G8" s="7" t="s">
        <v>1629</v>
      </c>
    </row>
    <row r="9" customFormat="false" ht="15" hidden="false" customHeight="false" outlineLevel="0" collapsed="false">
      <c r="A9" s="11" t="s">
        <v>127</v>
      </c>
      <c r="B9" s="7" t="s">
        <v>1630</v>
      </c>
      <c r="C9" s="7" t="s">
        <v>1631</v>
      </c>
      <c r="D9" s="7" t="s">
        <v>1632</v>
      </c>
      <c r="E9" s="7" t="s">
        <v>1622</v>
      </c>
      <c r="F9" s="7" t="s">
        <v>1633</v>
      </c>
      <c r="G9" s="7" t="s">
        <v>152</v>
      </c>
    </row>
    <row r="10" customFormat="false" ht="15" hidden="false" customHeight="false" outlineLevel="0" collapsed="false">
      <c r="A10" s="11" t="s">
        <v>127</v>
      </c>
      <c r="B10" s="7" t="s">
        <v>1634</v>
      </c>
      <c r="C10" s="7" t="s">
        <v>1635</v>
      </c>
      <c r="D10" s="7" t="s">
        <v>1636</v>
      </c>
      <c r="E10" s="7" t="s">
        <v>1622</v>
      </c>
      <c r="F10" s="7" t="s">
        <v>1637</v>
      </c>
      <c r="G10" s="7" t="s">
        <v>137</v>
      </c>
    </row>
    <row r="11" customFormat="false" ht="15" hidden="false" customHeight="false" outlineLevel="0" collapsed="false">
      <c r="A11" s="11" t="s">
        <v>127</v>
      </c>
      <c r="B11" s="7" t="s">
        <v>1638</v>
      </c>
      <c r="C11" s="7" t="s">
        <v>1639</v>
      </c>
      <c r="D11" s="7" t="s">
        <v>1640</v>
      </c>
      <c r="E11" s="7" t="s">
        <v>1622</v>
      </c>
      <c r="F11" s="7" t="s">
        <v>1641</v>
      </c>
      <c r="G11" s="7" t="s">
        <v>113</v>
      </c>
    </row>
    <row r="12" customFormat="false" ht="15" hidden="false" customHeight="false" outlineLevel="0" collapsed="false">
      <c r="A12" s="11" t="s">
        <v>127</v>
      </c>
      <c r="B12" s="7" t="s">
        <v>1642</v>
      </c>
      <c r="C12" s="7" t="s">
        <v>1643</v>
      </c>
      <c r="D12" s="7" t="s">
        <v>1644</v>
      </c>
      <c r="E12" s="7" t="s">
        <v>1622</v>
      </c>
      <c r="F12" s="7" t="s">
        <v>1645</v>
      </c>
      <c r="G12" s="7" t="s">
        <v>167</v>
      </c>
    </row>
    <row r="13" customFormat="false" ht="15" hidden="false" customHeight="false" outlineLevel="0" collapsed="false">
      <c r="A13" s="12" t="s">
        <v>243</v>
      </c>
      <c r="B13" s="7" t="s">
        <v>1646</v>
      </c>
      <c r="C13" s="7" t="s">
        <v>1647</v>
      </c>
      <c r="D13" s="7" t="s">
        <v>1648</v>
      </c>
      <c r="E13" s="7" t="s">
        <v>1622</v>
      </c>
      <c r="F13" s="7" t="s">
        <v>1649</v>
      </c>
      <c r="G13" s="7" t="s">
        <v>1650</v>
      </c>
    </row>
    <row r="14" customFormat="false" ht="23.85" hidden="false" customHeight="false" outlineLevel="0" collapsed="false">
      <c r="A14" s="12" t="s">
        <v>243</v>
      </c>
      <c r="B14" s="7" t="s">
        <v>1646</v>
      </c>
      <c r="C14" s="7" t="s">
        <v>1651</v>
      </c>
      <c r="D14" s="7" t="s">
        <v>1652</v>
      </c>
      <c r="E14" s="7" t="s">
        <v>1622</v>
      </c>
      <c r="F14" s="7" t="s">
        <v>1653</v>
      </c>
      <c r="G14" s="7" t="s">
        <v>1654</v>
      </c>
    </row>
    <row r="15" customFormat="false" ht="15" hidden="false" customHeight="false" outlineLevel="0" collapsed="false">
      <c r="A15" s="12" t="s">
        <v>243</v>
      </c>
      <c r="B15" s="7" t="s">
        <v>1646</v>
      </c>
      <c r="C15" s="7" t="s">
        <v>1655</v>
      </c>
      <c r="D15" s="7" t="s">
        <v>1656</v>
      </c>
      <c r="E15" s="7" t="s">
        <v>1622</v>
      </c>
      <c r="F15" s="7" t="s">
        <v>189</v>
      </c>
      <c r="G15" s="7" t="s">
        <v>285</v>
      </c>
    </row>
    <row r="16" customFormat="false" ht="15" hidden="false" customHeight="false" outlineLevel="0" collapsed="false">
      <c r="A16" s="12" t="s">
        <v>243</v>
      </c>
      <c r="B16" s="7" t="s">
        <v>1646</v>
      </c>
      <c r="C16" s="7" t="s">
        <v>1657</v>
      </c>
      <c r="D16" s="7" t="s">
        <v>1658</v>
      </c>
      <c r="E16" s="7" t="s">
        <v>1622</v>
      </c>
      <c r="F16" s="7" t="s">
        <v>1659</v>
      </c>
      <c r="G16" s="7" t="s">
        <v>296</v>
      </c>
    </row>
    <row r="17" customFormat="false" ht="15" hidden="false" customHeight="false" outlineLevel="0" collapsed="false">
      <c r="A17" s="12" t="s">
        <v>243</v>
      </c>
      <c r="B17" s="7" t="s">
        <v>1646</v>
      </c>
      <c r="C17" s="7" t="s">
        <v>1660</v>
      </c>
      <c r="D17" s="7" t="s">
        <v>1661</v>
      </c>
      <c r="E17" s="7" t="s">
        <v>1628</v>
      </c>
      <c r="F17" s="7" t="s">
        <v>189</v>
      </c>
      <c r="G17" s="7" t="s">
        <v>1662</v>
      </c>
    </row>
    <row r="18" customFormat="false" ht="15" hidden="false" customHeight="false" outlineLevel="0" collapsed="false">
      <c r="A18" s="13" t="s">
        <v>347</v>
      </c>
      <c r="B18" s="7" t="s">
        <v>1663</v>
      </c>
      <c r="C18" s="7" t="s">
        <v>1664</v>
      </c>
      <c r="D18" s="7" t="s">
        <v>1665</v>
      </c>
      <c r="E18" s="7" t="s">
        <v>1622</v>
      </c>
      <c r="F18" s="7" t="s">
        <v>1666</v>
      </c>
      <c r="G18" s="7" t="s">
        <v>451</v>
      </c>
    </row>
    <row r="19" customFormat="false" ht="15" hidden="false" customHeight="false" outlineLevel="0" collapsed="false">
      <c r="A19" s="13" t="s">
        <v>347</v>
      </c>
      <c r="B19" s="7" t="s">
        <v>1663</v>
      </c>
      <c r="C19" s="7" t="s">
        <v>1667</v>
      </c>
      <c r="D19" s="7" t="s">
        <v>1668</v>
      </c>
      <c r="E19" s="7" t="s">
        <v>1628</v>
      </c>
      <c r="F19" s="7" t="s">
        <v>1669</v>
      </c>
      <c r="G19" s="7" t="s">
        <v>398</v>
      </c>
    </row>
    <row r="20" customFormat="false" ht="23.85" hidden="false" customHeight="false" outlineLevel="0" collapsed="false">
      <c r="A20" s="13" t="s">
        <v>347</v>
      </c>
      <c r="B20" s="7" t="s">
        <v>1663</v>
      </c>
      <c r="C20" s="7" t="s">
        <v>1670</v>
      </c>
      <c r="D20" s="7" t="s">
        <v>1671</v>
      </c>
      <c r="E20" s="7" t="s">
        <v>1622</v>
      </c>
      <c r="F20" s="7" t="s">
        <v>1672</v>
      </c>
      <c r="G20" s="7" t="s">
        <v>1673</v>
      </c>
    </row>
    <row r="21" customFormat="false" ht="15" hidden="false" customHeight="false" outlineLevel="0" collapsed="false">
      <c r="A21" s="13" t="s">
        <v>347</v>
      </c>
      <c r="B21" s="7" t="s">
        <v>1674</v>
      </c>
      <c r="C21" s="7" t="s">
        <v>1675</v>
      </c>
      <c r="D21" s="7" t="s">
        <v>1676</v>
      </c>
      <c r="E21" s="7" t="s">
        <v>1622</v>
      </c>
      <c r="F21" s="7" t="s">
        <v>1677</v>
      </c>
      <c r="G21" s="7" t="s">
        <v>337</v>
      </c>
    </row>
    <row r="22" customFormat="false" ht="23.85" hidden="false" customHeight="false" outlineLevel="0" collapsed="false">
      <c r="A22" s="13" t="s">
        <v>347</v>
      </c>
      <c r="B22" s="7" t="s">
        <v>1674</v>
      </c>
      <c r="C22" s="7" t="s">
        <v>1678</v>
      </c>
      <c r="D22" s="7" t="s">
        <v>1679</v>
      </c>
      <c r="E22" s="7" t="s">
        <v>1622</v>
      </c>
      <c r="F22" s="7" t="s">
        <v>1680</v>
      </c>
      <c r="G22" s="7" t="s">
        <v>1681</v>
      </c>
    </row>
    <row r="23" customFormat="false" ht="15" hidden="false" customHeight="false" outlineLevel="0" collapsed="false">
      <c r="A23" s="13" t="s">
        <v>347</v>
      </c>
      <c r="B23" s="7" t="s">
        <v>1674</v>
      </c>
      <c r="C23" s="7" t="s">
        <v>1682</v>
      </c>
      <c r="D23" s="7" t="s">
        <v>1683</v>
      </c>
      <c r="E23" s="7" t="s">
        <v>1622</v>
      </c>
      <c r="F23" s="7" t="s">
        <v>189</v>
      </c>
      <c r="G23" s="7" t="s">
        <v>519</v>
      </c>
    </row>
    <row r="24" customFormat="false" ht="15" hidden="false" customHeight="false" outlineLevel="0" collapsed="false">
      <c r="A24" s="14" t="s">
        <v>639</v>
      </c>
      <c r="B24" s="7" t="s">
        <v>1684</v>
      </c>
      <c r="C24" s="7" t="s">
        <v>1685</v>
      </c>
      <c r="D24" s="7" t="s">
        <v>1686</v>
      </c>
      <c r="E24" s="7" t="s">
        <v>1622</v>
      </c>
      <c r="F24" s="7" t="s">
        <v>1684</v>
      </c>
      <c r="G24" s="7" t="s">
        <v>201</v>
      </c>
    </row>
    <row r="25" customFormat="false" ht="15" hidden="false" customHeight="false" outlineLevel="0" collapsed="false">
      <c r="A25" s="14" t="s">
        <v>639</v>
      </c>
      <c r="B25" s="7" t="s">
        <v>1684</v>
      </c>
      <c r="C25" s="7" t="s">
        <v>1687</v>
      </c>
      <c r="D25" s="7" t="s">
        <v>1688</v>
      </c>
      <c r="E25" s="7" t="s">
        <v>1622</v>
      </c>
      <c r="F25" s="7" t="s">
        <v>1689</v>
      </c>
      <c r="G25" s="7" t="s">
        <v>1690</v>
      </c>
    </row>
    <row r="26" customFormat="false" ht="23.85" hidden="false" customHeight="false" outlineLevel="0" collapsed="false">
      <c r="A26" s="14" t="s">
        <v>639</v>
      </c>
      <c r="B26" s="7" t="s">
        <v>1691</v>
      </c>
      <c r="C26" s="7" t="s">
        <v>1692</v>
      </c>
      <c r="D26" s="7" t="s">
        <v>1693</v>
      </c>
      <c r="E26" s="7" t="s">
        <v>1694</v>
      </c>
      <c r="F26" s="7" t="s">
        <v>1695</v>
      </c>
      <c r="G26" s="7" t="s">
        <v>1696</v>
      </c>
    </row>
    <row r="27" customFormat="false" ht="15" hidden="false" customHeight="false" outlineLevel="0" collapsed="false">
      <c r="A27" s="14" t="s">
        <v>639</v>
      </c>
      <c r="B27" s="7" t="s">
        <v>1684</v>
      </c>
      <c r="C27" s="7" t="s">
        <v>1697</v>
      </c>
      <c r="D27" s="7" t="s">
        <v>1698</v>
      </c>
      <c r="E27" s="7" t="s">
        <v>1622</v>
      </c>
      <c r="F27" s="7" t="s">
        <v>1699</v>
      </c>
      <c r="G27" s="7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4"/>
    <col collapsed="false" customWidth="true" hidden="false" outlineLevel="0" max="4" min="4" style="0" width="46"/>
    <col collapsed="false" customWidth="true" hidden="false" outlineLevel="0" max="5" min="5" style="0" width="17"/>
    <col collapsed="false" customWidth="true" hidden="false" outlineLevel="0" max="6" min="6" style="0" width="40"/>
    <col collapsed="false" customWidth="true" hidden="false" outlineLevel="0" max="7" min="7" style="0" width="18"/>
  </cols>
  <sheetData>
    <row r="1" customFormat="false" ht="18.55" hidden="false" customHeight="false" outlineLevel="0" collapsed="false">
      <c r="A1" s="1" t="s">
        <v>1700</v>
      </c>
    </row>
    <row r="2" customFormat="false" ht="15" hidden="false" customHeight="false" outlineLevel="0" collapsed="false">
      <c r="A2" s="2" t="s">
        <v>1701</v>
      </c>
    </row>
    <row r="4" customFormat="false" ht="15" hidden="false" customHeight="false" outlineLevel="0" collapsed="false">
      <c r="A4" s="6" t="s">
        <v>1702</v>
      </c>
      <c r="B4" s="6" t="s">
        <v>1703</v>
      </c>
      <c r="C4" s="6" t="s">
        <v>1704</v>
      </c>
      <c r="D4" s="6" t="s">
        <v>1705</v>
      </c>
      <c r="E4" s="6" t="s">
        <v>1706</v>
      </c>
      <c r="F4" s="6" t="s">
        <v>1707</v>
      </c>
      <c r="G4" s="6" t="s">
        <v>1389</v>
      </c>
    </row>
    <row r="5" customFormat="false" ht="23.85" hidden="false" customHeight="false" outlineLevel="0" collapsed="false">
      <c r="A5" s="7" t="s">
        <v>1708</v>
      </c>
      <c r="B5" s="7" t="s">
        <v>1709</v>
      </c>
      <c r="C5" s="7" t="s">
        <v>1710</v>
      </c>
      <c r="D5" s="7" t="s">
        <v>1711</v>
      </c>
      <c r="E5" s="21" t="s">
        <v>1712</v>
      </c>
      <c r="F5" s="7" t="s">
        <v>1713</v>
      </c>
      <c r="G5" s="7" t="s">
        <v>58</v>
      </c>
    </row>
    <row r="6" customFormat="false" ht="35.05" hidden="false" customHeight="false" outlineLevel="0" collapsed="false">
      <c r="A6" s="7" t="s">
        <v>1714</v>
      </c>
      <c r="B6" s="7" t="s">
        <v>1715</v>
      </c>
      <c r="C6" s="7" t="s">
        <v>1716</v>
      </c>
      <c r="D6" s="7" t="s">
        <v>1717</v>
      </c>
      <c r="E6" s="21" t="s">
        <v>1718</v>
      </c>
      <c r="F6" s="7" t="s">
        <v>1719</v>
      </c>
      <c r="G6" s="7" t="s">
        <v>58</v>
      </c>
    </row>
    <row r="7" customFormat="false" ht="35.05" hidden="false" customHeight="false" outlineLevel="0" collapsed="false">
      <c r="A7" s="7" t="s">
        <v>1720</v>
      </c>
      <c r="B7" s="7" t="s">
        <v>1721</v>
      </c>
      <c r="C7" s="7" t="s">
        <v>1722</v>
      </c>
      <c r="D7" s="7" t="s">
        <v>1723</v>
      </c>
      <c r="E7" s="22" t="s">
        <v>40</v>
      </c>
      <c r="F7" s="7" t="s">
        <v>1724</v>
      </c>
      <c r="G7" s="7" t="s">
        <v>58</v>
      </c>
    </row>
    <row r="8" customFormat="false" ht="35.05" hidden="false" customHeight="false" outlineLevel="0" collapsed="false">
      <c r="A8" s="7" t="s">
        <v>1725</v>
      </c>
      <c r="B8" s="7" t="s">
        <v>1726</v>
      </c>
      <c r="C8" s="7" t="s">
        <v>1727</v>
      </c>
      <c r="D8" s="7" t="s">
        <v>1728</v>
      </c>
      <c r="E8" s="22" t="s">
        <v>1729</v>
      </c>
      <c r="F8" s="7" t="s">
        <v>1730</v>
      </c>
      <c r="G8" s="7" t="s">
        <v>58</v>
      </c>
    </row>
    <row r="9" customFormat="false" ht="23.85" hidden="false" customHeight="false" outlineLevel="0" collapsed="false">
      <c r="A9" s="7" t="s">
        <v>1731</v>
      </c>
      <c r="B9" s="7" t="s">
        <v>1732</v>
      </c>
      <c r="C9" s="7" t="s">
        <v>1733</v>
      </c>
      <c r="D9" s="7" t="s">
        <v>1734</v>
      </c>
      <c r="E9" s="22" t="s">
        <v>40</v>
      </c>
      <c r="F9" s="7" t="s">
        <v>1735</v>
      </c>
      <c r="G9" s="7" t="s">
        <v>58</v>
      </c>
    </row>
    <row r="10" customFormat="false" ht="23.85" hidden="false" customHeight="false" outlineLevel="0" collapsed="false">
      <c r="A10" s="7" t="s">
        <v>1736</v>
      </c>
      <c r="B10" s="7" t="s">
        <v>1737</v>
      </c>
      <c r="C10" s="7" t="s">
        <v>1738</v>
      </c>
      <c r="D10" s="7" t="s">
        <v>1739</v>
      </c>
      <c r="E10" s="22" t="s">
        <v>40</v>
      </c>
      <c r="F10" s="7" t="s">
        <v>1740</v>
      </c>
      <c r="G10" s="7" t="s">
        <v>58</v>
      </c>
    </row>
    <row r="11" customFormat="false" ht="23.85" hidden="false" customHeight="false" outlineLevel="0" collapsed="false">
      <c r="A11" s="7" t="s">
        <v>1741</v>
      </c>
      <c r="B11" s="7" t="s">
        <v>1742</v>
      </c>
      <c r="C11" s="7" t="s">
        <v>1743</v>
      </c>
      <c r="D11" s="7" t="s">
        <v>1744</v>
      </c>
      <c r="E11" s="21" t="s">
        <v>1712</v>
      </c>
      <c r="F11" s="7" t="s">
        <v>1745</v>
      </c>
      <c r="G11" s="7" t="s">
        <v>58</v>
      </c>
    </row>
    <row r="12" customFormat="false" ht="23.85" hidden="false" customHeight="false" outlineLevel="0" collapsed="false">
      <c r="A12" s="7" t="s">
        <v>1746</v>
      </c>
      <c r="B12" s="7" t="s">
        <v>1747</v>
      </c>
      <c r="C12" s="7" t="s">
        <v>1748</v>
      </c>
      <c r="D12" s="7" t="s">
        <v>1749</v>
      </c>
      <c r="E12" s="21" t="s">
        <v>1712</v>
      </c>
      <c r="F12" s="7" t="s">
        <v>1750</v>
      </c>
      <c r="G12" s="7" t="s">
        <v>1751</v>
      </c>
    </row>
    <row r="13" customFormat="false" ht="15" hidden="false" customHeight="false" outlineLevel="0" collapsed="false">
      <c r="A13" s="7" t="s">
        <v>1752</v>
      </c>
      <c r="B13" s="7" t="s">
        <v>1753</v>
      </c>
      <c r="C13" s="7" t="s">
        <v>1754</v>
      </c>
      <c r="D13" s="7" t="s">
        <v>1755</v>
      </c>
      <c r="E13" s="21" t="s">
        <v>1712</v>
      </c>
      <c r="F13" s="7" t="s">
        <v>1756</v>
      </c>
      <c r="G13" s="7" t="s">
        <v>58</v>
      </c>
    </row>
    <row r="14" customFormat="false" ht="23.85" hidden="false" customHeight="false" outlineLevel="0" collapsed="false">
      <c r="A14" s="7" t="s">
        <v>1757</v>
      </c>
      <c r="B14" s="7" t="s">
        <v>1758</v>
      </c>
      <c r="C14" s="7" t="s">
        <v>1759</v>
      </c>
      <c r="D14" s="7" t="s">
        <v>1760</v>
      </c>
      <c r="E14" s="22" t="s">
        <v>40</v>
      </c>
      <c r="F14" s="7" t="s">
        <v>1761</v>
      </c>
      <c r="G14" s="7" t="s">
        <v>60</v>
      </c>
    </row>
    <row r="15" customFormat="false" ht="46.25" hidden="false" customHeight="false" outlineLevel="0" collapsed="false">
      <c r="A15" s="7" t="s">
        <v>1762</v>
      </c>
      <c r="B15" s="7" t="s">
        <v>1763</v>
      </c>
      <c r="C15" s="7" t="s">
        <v>1764</v>
      </c>
      <c r="D15" s="7" t="s">
        <v>1765</v>
      </c>
      <c r="E15" s="21" t="s">
        <v>1712</v>
      </c>
      <c r="F15" s="7" t="s">
        <v>1766</v>
      </c>
      <c r="G15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2026-05-31T04:49:07Z</dcterms:created>
  <dc:creator>openpyxl</dc:creator>
  <dc:description/>
  <dc:language>en-US</dc:language>
  <cp:lastModifiedBy/>
  <dcterms:modified xsi:type="dcterms:W3CDTF">2026-05-31T04:49:07Z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