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Performer x Phase" sheetId="2" state="visible" r:id="rId4"/>
    <sheet name="Labor" sheetId="3" state="visible" r:id="rId5"/>
    <sheet name="Equipment" sheetId="4" state="visible" r:id="rId6"/>
    <sheet name="Travel" sheetId="5" state="visible" r:id="rId7"/>
    <sheet name="ODC" sheetId="6" state="visible" r:id="rId8"/>
    <sheet name="Materials" sheetId="7" state="visible" r:id="rId9"/>
    <sheet name="Indirect &amp; Fee" sheetId="8" state="visible" r:id="rId10"/>
    <sheet name="Resource Shar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<sst xmlns="http://schemas.openxmlformats.org/spreadsheetml/2006/main" count="489" uniqueCount="305">
  <si>
    <t xml:space="preserve">IGoR Program — Price Proposal Summary</t>
  </si>
  <si>
    <t xml:space="preserve">Cytognosis Foundation (Sub) | IPAI/Purdue (Prime) | ARPA-H Other Transaction</t>
  </si>
  <si>
    <t xml:space="preserve">A. Program Totals (All Phases)</t>
  </si>
  <si>
    <t xml:space="preserve">Line Item</t>
  </si>
  <si>
    <t xml:space="preserve">Amount ($)</t>
  </si>
  <si>
    <t xml:space="preserve">Notes</t>
  </si>
  <si>
    <t xml:space="preserve">ARPA-H Funds Requested — Phase I (18 mo)</t>
  </si>
  <si>
    <t xml:space="preserve">Source: IGoR COST_MODEL.md, 2026-06-12</t>
  </si>
  <si>
    <t xml:space="preserve">ARPA-H Funds Requested — Phase II (18 mo)</t>
  </si>
  <si>
    <t xml:space="preserve">ARPA-H Funds Requested — Phase III (24 mo)</t>
  </si>
  <si>
    <t xml:space="preserve">ARPA-H Total Requested</t>
  </si>
  <si>
    <t xml:space="preserve">Must equal $50,000,000</t>
  </si>
  <si>
    <t xml:space="preserve">Performer In-Kind Resource Sharing</t>
  </si>
  <si>
    <t xml:space="preserve">Illumina BCA data+seq credits; Cellanome instrument; cloud credits</t>
  </si>
  <si>
    <t xml:space="preserve">Total Project Value</t>
  </si>
  <si>
    <t xml:space="preserve">ARPA-H + in-kind; ~$54M</t>
  </si>
  <si>
    <t xml:space="preserve">B. Phase Budget Breakdown</t>
  </si>
  <si>
    <t xml:space="preserve">Phase</t>
  </si>
  <si>
    <t xml:space="preserve">Duration</t>
  </si>
  <si>
    <t xml:space="preserve">ARPA-H Budget ($)</t>
  </si>
  <si>
    <t xml:space="preserve">% of Total</t>
  </si>
  <si>
    <t xml:space="preserve">Phase I</t>
  </si>
  <si>
    <t xml:space="preserve">18 months</t>
  </si>
  <si>
    <t xml:space="preserve">Phase II</t>
  </si>
  <si>
    <t xml:space="preserve">Phase III</t>
  </si>
  <si>
    <t xml:space="preserve">24 months</t>
  </si>
  <si>
    <t xml:space="preserve">TOTAL</t>
  </si>
  <si>
    <t xml:space="preserve">60 months</t>
  </si>
  <si>
    <t xml:space="preserve">C. Cost Category Summary</t>
  </si>
  <si>
    <t xml:space="preserve">Category</t>
  </si>
  <si>
    <t xml:space="preserve">Direct Labor (fully burdened)</t>
  </si>
  <si>
    <t xml:space="preserve">~14 FTE/yr blended × 2026 loaded rates</t>
  </si>
  <si>
    <t xml:space="preserve">Subcontracts / Consultants</t>
  </si>
  <si>
    <t xml:space="preserve">Clinical co-lead, biostatistics, ethics/IRB</t>
  </si>
  <si>
    <t xml:space="preserve">Materials</t>
  </si>
  <si>
    <t xml:space="preserve">iPSC, CRISPR libraries, Perturb-seq kits, Cell Painting reagents</t>
  </si>
  <si>
    <t xml:space="preserve">Equipment</t>
  </si>
  <si>
    <t xml:space="preserve">Imaging, instrument access, GPU hardware</t>
  </si>
  <si>
    <t xml:space="preserve">Travel</t>
  </si>
  <si>
    <t xml:space="preserve">DDD workshop, bake-offs, connect-a-thon, IV&amp;V reviews</t>
  </si>
  <si>
    <t xml:space="preserve">Other Direct Costs (ODC)</t>
  </si>
  <si>
    <t xml:space="preserve">GPU/cloud compute, sequencing-as-a-service, storage, licenses</t>
  </si>
  <si>
    <t xml:space="preserve">Indirect (F&amp;A / Overhead)</t>
  </si>
  <si>
    <t xml:space="preserve">Cytognosis 15% de minimis; Purdue ~57% on-campus F&amp;A</t>
  </si>
  <si>
    <t xml:space="preserve">Profit / Fee</t>
  </si>
  <si>
    <t xml:space="preserve">Commercial subs ~7-10%; none for nonprofit/academia</t>
  </si>
  <si>
    <t xml:space="preserve">By Performer x Phase — ARPA-H Budget Allocation</t>
  </si>
  <si>
    <t xml:space="preserve">Performer</t>
  </si>
  <si>
    <t xml:space="preserve">Role / TAs</t>
  </si>
  <si>
    <t xml:space="preserve">Phase I ($)
18 mo</t>
  </si>
  <si>
    <t xml:space="preserve">Phase II ($)
18 mo</t>
  </si>
  <si>
    <t xml:space="preserve">Phase III ($)
24 mo</t>
  </si>
  <si>
    <t xml:space="preserve">5-yr Total ($)</t>
  </si>
  <si>
    <t xml:space="preserve">IPAI / Purdue (Prime)</t>
  </si>
  <si>
    <t xml:space="preserve">Coordination, PI, Proj Mgmt, Software Architect, TA1/TA2 support</t>
  </si>
  <si>
    <t xml:space="preserve">IPAI prime; Purdue F&amp;A ~57%</t>
  </si>
  <si>
    <t xml:space="preserve">Cytognosis (Sub)</t>
  </si>
  <si>
    <t xml:space="preserve">TA1 lead, TA2 co-lead</t>
  </si>
  <si>
    <t xml:space="preserve">Cytognosis 15% de minimis MTDC</t>
  </si>
  <si>
    <t xml:space="preserve">Phylo (Sub)</t>
  </si>
  <si>
    <t xml:space="preserve">TA2 agentic-science partner</t>
  </si>
  <si>
    <t xml:space="preserve">Alt: DataTecnica if Phylo unavailable</t>
  </si>
  <si>
    <t xml:space="preserve">SIFT (Sub)</t>
  </si>
  <si>
    <t xml:space="preserve">TA3 lead (LabOP / protocol stack)</t>
  </si>
  <si>
    <t xml:space="preserve">Protocol automation + LabOP</t>
  </si>
  <si>
    <t xml:space="preserve">Carpenter Lab (Sub)</t>
  </si>
  <si>
    <t xml:space="preserve">TA4 lab #1 — optical / Cell Painting</t>
  </si>
  <si>
    <t xml:space="preserve">Broad/JUMP Cell Painting reference data available</t>
  </si>
  <si>
    <t xml:space="preserve">Cellanome (Sub)</t>
  </si>
  <si>
    <t xml:space="preserve">TA4 lab #2 — live-cell + Perturb-seq</t>
  </si>
  <si>
    <t xml:space="preserve">Also resource-sharing partner</t>
  </si>
  <si>
    <t xml:space="preserve">Illumina (Sub)</t>
  </si>
  <si>
    <t xml:space="preserve">TA4 lab #3 — sequencing + data</t>
  </si>
  <si>
    <t xml:space="preserve">BCA data + seq credits (in-kind ~$2-3M additional)</t>
  </si>
  <si>
    <t xml:space="preserve">Cross-team / Reserve</t>
  </si>
  <si>
    <t xml:space="preserve">DDD workshop, bake-offs, connect-a-thon, mgmt reserve</t>
  </si>
  <si>
    <t xml:space="preserve">Integration events + management reserve</t>
  </si>
  <si>
    <t xml:space="preserve">GRAND TOTAL</t>
  </si>
  <si>
    <t xml:space="preserve">Labor — Direct Labor Cost Detail</t>
  </si>
  <si>
    <t xml:space="preserve">Source: IGoR COST_MODEL.md §5, 2026-06-12 | Rates: 2026 fully-loaded (salary+fringe+direct OH)</t>
  </si>
  <si>
    <t xml:space="preserve">Labor Category</t>
  </si>
  <si>
    <t xml:space="preserve">Organization</t>
  </si>
  <si>
    <t xml:space="preserve">FTE (full-time equiv)</t>
  </si>
  <si>
    <t xml:space="preserve">Loaded Rate ($/yr)</t>
  </si>
  <si>
    <t xml:space="preserve">Annual Hours (est.)</t>
  </si>
  <si>
    <t xml:space="preserve">5-yr Cost ($)</t>
  </si>
  <si>
    <t xml:space="preserve">Basis of Estimate / Notes</t>
  </si>
  <si>
    <t xml:space="preserve">CYTOGNOSIS (TA1 Lead + TA2 Co-Lead) — Detailed Breakdown</t>
  </si>
  <si>
    <t xml:space="preserve">PI (Mohammadi), partial</t>
  </si>
  <si>
    <t xml:space="preserve">Cytognosis</t>
  </si>
  <si>
    <t xml:space="preserve">All phases</t>
  </si>
  <si>
    <t xml:space="preserve">Source: COST_MODEL.md §5, 2026-06-12; $200K base × 0.5 FTE loaded</t>
  </si>
  <si>
    <t xml:space="preserve">Software Architect (TA2/integ.)</t>
  </si>
  <si>
    <t xml:space="preserve">Source: COST_MODEL.md §4, 2026-06-12; Bay Area SW architect blended rate</t>
  </si>
  <si>
    <t xml:space="preserve">Senior ML/AI Engineer (TA2)</t>
  </si>
  <si>
    <t xml:space="preserve">Source: COST_MODEL.md §4, 2026-06-12; Bay Area ML engineer market rate</t>
  </si>
  <si>
    <t xml:space="preserve">ML Research Scientist (TA1/TA2)</t>
  </si>
  <si>
    <t xml:space="preserve">Source: COST_MODEL.md §4, 2026-06-12</t>
  </si>
  <si>
    <t xml:space="preserve">Computational Biologist (TA1)</t>
  </si>
  <si>
    <t xml:space="preserve">Source: COST_MODEL.md §4, 2026-06-12; $210K/FTE × 2 FTE</t>
  </si>
  <si>
    <t xml:space="preserve">Technical Project Manager</t>
  </si>
  <si>
    <t xml:space="preserve">Research Scientist / Postdoc</t>
  </si>
  <si>
    <t xml:space="preserve">Source: COST_MODEL.md §4, 2026-06-12; industry postdoc rate</t>
  </si>
  <si>
    <t xml:space="preserve">Cytognosis Personnel Subtotal</t>
  </si>
  <si>
    <t xml:space="preserve">OTHER PERFORMERS — Org-level Summary (detail in individual cost workbooks)</t>
  </si>
  <si>
    <t xml:space="preserve">IPAI/Purdue</t>
  </si>
  <si>
    <t xml:space="preserve">PI (Grama) + PM + 1-2 researchers + students; Purdue F&amp;A ~57%</t>
  </si>
  <si>
    <t xml:space="preserve">Phylo</t>
  </si>
  <si>
    <t xml:space="preserve">Agentic-science ML engineers; commercial OH embedded in rate</t>
  </si>
  <si>
    <t xml:space="preserve">SIFT</t>
  </si>
  <si>
    <t xml:space="preserve">TA3 LabOP / protocol automation engineers</t>
  </si>
  <si>
    <t xml:space="preserve">Carpenter Lab</t>
  </si>
  <si>
    <t xml:space="preserve">Broad/HMS</t>
  </si>
  <si>
    <t xml:space="preserve">Academic staff + postdocs; F&amp;A negotiated</t>
  </si>
  <si>
    <t xml:space="preserve">Cellanome</t>
  </si>
  <si>
    <t xml:space="preserve">Lab scientists + bioinformaticians; commercial rate</t>
  </si>
  <si>
    <t xml:space="preserve">Illumina</t>
  </si>
  <si>
    <t xml:space="preserve">Data engineers + bioinformatics; commercial rate</t>
  </si>
  <si>
    <t xml:space="preserve">PROGRAM LABOR TOTAL (est.)</t>
  </si>
  <si>
    <t xml:space="preserve">Note: Labor = ~$22.0M of $50.0M total; remaining ~$28.0M covers materials, equipment, travel, ODC, indirect, and fee.</t>
  </si>
  <si>
    <t xml:space="preserve">Equipment — ~$2.5M Total</t>
  </si>
  <si>
    <t xml:space="preserve">Item Description</t>
  </si>
  <si>
    <t xml:space="preserve">Qty</t>
  </si>
  <si>
    <t xml:space="preserve">Unit Price ($)</t>
  </si>
  <si>
    <t xml:space="preserve">Total Price ($)</t>
  </si>
  <si>
    <t xml:space="preserve">Vendor/Source</t>
  </si>
  <si>
    <t xml:space="preserve">Basis of Estimate</t>
  </si>
  <si>
    <t xml:space="preserve">GPU Compute Hardware (on-prem H100 cluster)</t>
  </si>
  <si>
    <t xml:space="preserve">Various</t>
  </si>
  <si>
    <t xml:space="preserve">NVIDIA H100 node; amortized over program; ~$2.50-3.00/GPU-hr alt cloud</t>
  </si>
  <si>
    <t xml:space="preserve">Cellanome R3200 Instrument Time (amortized)</t>
  </si>
  <si>
    <t xml:space="preserve">All</t>
  </si>
  <si>
    <t xml:space="preserve">Live-cell imaging; Cellanome partner discount; per COST_MODEL §3</t>
  </si>
  <si>
    <t xml:space="preserve">High-content imaging system (Cell Painting)</t>
  </si>
  <si>
    <t xml:space="preserve">Operetta or equivalent; per COST_MODEL §4 optical pooled screen</t>
  </si>
  <si>
    <t xml:space="preserve">Liquid handling robotics (TA4 automation)</t>
  </si>
  <si>
    <t xml:space="preserve">Hamilton or Tecan; TA3 LabOP protocol stack</t>
  </si>
  <si>
    <t xml:space="preserve">Flow cytometry / cell sorter access</t>
  </si>
  <si>
    <t xml:space="preserve">Shared-use instrument; CRO or core facility</t>
  </si>
  <si>
    <t xml:space="preserve">Sequencing instruments / flow cell consumables</t>
  </si>
  <si>
    <t xml:space="preserve">NovaSeq X; consumables amortized; Illumina partner pricing</t>
  </si>
  <si>
    <t xml:space="preserve">Lab computing workstations + storage NAS</t>
  </si>
  <si>
    <t xml:space="preserve">Scientific workstations; 4 × $20K; standard procurement</t>
  </si>
  <si>
    <t xml:space="preserve">Bioreactor / cell culture expansion system</t>
  </si>
  <si>
    <t xml:space="preserve">iPSC expansion; $3-15K/run per COST_MODEL §4</t>
  </si>
  <si>
    <t xml:space="preserve">Miscellaneous lab equipment (consumable capital)</t>
  </si>
  <si>
    <t xml:space="preserve">Pipettes, centrifuges, incubators; standard lab setup</t>
  </si>
  <si>
    <t xml:space="preserve">Software licenses (computational biology tools)</t>
  </si>
  <si>
    <t xml:space="preserve">Schrodinger, GROMACS, domain-specific suites</t>
  </si>
  <si>
    <t xml:space="preserve">Reserve / contingency (equipment)</t>
  </si>
  <si>
    <t xml:space="preserve">Cross-team</t>
  </si>
  <si>
    <t xml:space="preserve">~6% reserve on $2.5M equipment budget</t>
  </si>
  <si>
    <t xml:space="preserve">TOTAL EQUIPMENT</t>
  </si>
  <si>
    <t xml:space="preserve">Target: ~$2.5M | Source: COST_MODEL.md §3, 2026-06-12</t>
  </si>
  <si>
    <t xml:space="preserve">Travel — ~$1.0M Total</t>
  </si>
  <si>
    <t xml:space="preserve">Purpose of Trip</t>
  </si>
  <si>
    <t xml:space="preserve">Organization(s)</t>
  </si>
  <si>
    <t xml:space="preserve">Destination</t>
  </si>
  <si>
    <t xml:space="preserve"># Travelers</t>
  </si>
  <si>
    <t xml:space="preserve">Cost/Traveler ($)</t>
  </si>
  <si>
    <t xml:space="preserve">Total ($)</t>
  </si>
  <si>
    <t xml:space="preserve">DDD Workshop / Program Kickoff</t>
  </si>
  <si>
    <t xml:space="preserve">All performers</t>
  </si>
  <si>
    <t xml:space="preserve">Washington DC / TBD</t>
  </si>
  <si>
    <t xml:space="preserve">Annual program-wide meeting; air+hotel+per diem; per COST_MODEL §3</t>
  </si>
  <si>
    <t xml:space="preserve">TA3 Bake-off #1 (protocol validation)</t>
  </si>
  <si>
    <t xml:space="preserve">SIFT, Cytognosis</t>
  </si>
  <si>
    <t xml:space="preserve">Remote/TBD</t>
  </si>
  <si>
    <t xml:space="preserve">TA3 protocol stack evaluation; LabOP standard conformance</t>
  </si>
  <si>
    <t xml:space="preserve">TA4 Cross-team Lab Visit (Cell Painting)</t>
  </si>
  <si>
    <t xml:space="preserve">Carpenter Lab, Cyto</t>
  </si>
  <si>
    <t xml:space="preserve">Boston/HMS</t>
  </si>
  <si>
    <t xml:space="preserve">Wet-lab integration; optical pooled screen setup</t>
  </si>
  <si>
    <t xml:space="preserve">Biannual IV&amp;V Review #1</t>
  </si>
  <si>
    <t xml:space="preserve">ARPA-H / DC</t>
  </si>
  <si>
    <t xml:space="preserve">Defend the Spend; IV&amp;V partner collaboration</t>
  </si>
  <si>
    <t xml:space="preserve">Annual Program Meeting (Year 2)</t>
  </si>
  <si>
    <t xml:space="preserve">TBD</t>
  </si>
  <si>
    <t xml:space="preserve">Full team; TA progress review</t>
  </si>
  <si>
    <t xml:space="preserve">TA3 Bake-off #2 (cross-team screen)</t>
  </si>
  <si>
    <t xml:space="preserve">SIFT, Cellanome</t>
  </si>
  <si>
    <t xml:space="preserve">Cross-team Perturb-seq / Cell Painting integration</t>
  </si>
  <si>
    <t xml:space="preserve">Biannual IV&amp;V Review #2</t>
  </si>
  <si>
    <t xml:space="preserve">Mid-program IV&amp;V</t>
  </si>
  <si>
    <t xml:space="preserve">Phase III Connect-a-thon (marketplace)</t>
  </si>
  <si>
    <t xml:space="preserve">TA4 marketplace; cross-team + external orgs; per COST_MODEL §3</t>
  </si>
  <si>
    <t xml:space="preserve">Dissemination / Conference (ASHG, ISMB, etc.</t>
  </si>
  <si>
    <t xml:space="preserve">Cytognosis, Purdue</t>
  </si>
  <si>
    <t xml:space="preserve">Scientific dissemination; 2 conferences × 4 travelers</t>
  </si>
  <si>
    <t xml:space="preserve">Biannual IV&amp;V Reviews #3–#4</t>
  </si>
  <si>
    <t xml:space="preserve">2 reviews × $22.5K</t>
  </si>
  <si>
    <t xml:space="preserve">Travel reserve / contingency</t>
  </si>
  <si>
    <t xml:space="preserve">~5% reserve on $1.0M travel budget</t>
  </si>
  <si>
    <t xml:space="preserve">TOTAL TRAVEL</t>
  </si>
  <si>
    <t xml:space="preserve">Target: ~$1.0M | Source: COST_MODEL.md §3, 2026-06-12</t>
  </si>
  <si>
    <t xml:space="preserve">Other Direct Costs (ODC) — ~$7.0M Total</t>
  </si>
  <si>
    <t xml:space="preserve">ODC Item</t>
  </si>
  <si>
    <t xml:space="preserve">Annualized ($)</t>
  </si>
  <si>
    <t xml:space="preserve">GPU/Cloud compute — TA1 FM fine-tuning + causal training</t>
  </si>
  <si>
    <t xml:space="preserve">~250-400K/yr × 5 yr; H100 blended ~$2.50-3.00/GPU-hr; COST_MODEL §4</t>
  </si>
  <si>
    <t xml:space="preserve">GPU/Cloud compute — TA2 agentic inference + serving</t>
  </si>
  <si>
    <t xml:space="preserve">~150-250K/yr × 5 yr; frontier API + open-weight serving; COST_MODEL §4</t>
  </si>
  <si>
    <t xml:space="preserve">Sequencing-as-a-service (TA4 scRNA-seq reads)</t>
  </si>
  <si>
    <t xml:space="preserve">Cellanome/Illumina</t>
  </si>
  <si>
    <t xml:space="preserve">~$200-700/sample; ~400 samples/yr; COST_MODEL §4</t>
  </si>
  <si>
    <t xml:space="preserve">Cloud storage + data management (Billion Cell Atlas)</t>
  </si>
  <si>
    <t xml:space="preserve">EBS/S3/GCS; ~$100K/yr for multi-TB genomic datasets</t>
  </si>
  <si>
    <t xml:space="preserve">Software + API licenses (bioinformatics, LLM APIs)</t>
  </si>
  <si>
    <t xml:space="preserve">Specialized tools, frontier LLM API costs for TA2</t>
  </si>
  <si>
    <t xml:space="preserve">Graduate student tuition (Purdue)</t>
  </si>
  <si>
    <t xml:space="preserve">Purdue</t>
  </si>
  <si>
    <t xml:space="preserve">2 PhD students × ~$50K tuition/yr × 5 yr; standard Purdue rate</t>
  </si>
  <si>
    <t xml:space="preserve">Subcontract admin / consultants (IRB, ethics, standards)</t>
  </si>
  <si>
    <t xml:space="preserve">Clinical co-lead effort, biostatistics, IRB; per COST_MODEL §3</t>
  </si>
  <si>
    <t xml:space="preserve">IT/cybersecurity / compliance (OT contractor requirements)</t>
  </si>
  <si>
    <t xml:space="preserve">OT CMMC/security compliance for federal work</t>
  </si>
  <si>
    <t xml:space="preserve">Publication, data-sharing, open-source release costs</t>
  </si>
  <si>
    <t xml:space="preserve">Apache-2.0 release packaging, preprint fees, data deposit</t>
  </si>
  <si>
    <t xml:space="preserve">ODC reserve / contingency</t>
  </si>
  <si>
    <t xml:space="preserve">~2% reserve on $7.0M ODC budget</t>
  </si>
  <si>
    <t xml:space="preserve">TOTAL ODC</t>
  </si>
  <si>
    <t xml:space="preserve">Target: ~$7.0M | Source: COST_MODEL.md §3-4, 2026-06-12</t>
  </si>
  <si>
    <t xml:space="preserve">Materials — ~$6.0M Total</t>
  </si>
  <si>
    <t xml:space="preserve">Material / Reagent Item</t>
  </si>
  <si>
    <t xml:space="preserve">Qty (runs/kits/etc.)</t>
  </si>
  <si>
    <t xml:space="preserve">Unit Cost ($)</t>
  </si>
  <si>
    <t xml:space="preserve">iPSC → NGN2 neuron differentiation (runs)</t>
  </si>
  <si>
    <t xml:space="preserve">~$3-15K/run mid; NGN2 protocol; COST_MODEL §4</t>
  </si>
  <si>
    <t xml:space="preserve">CRISPRi/a guide RNA libraries (genome-scale)</t>
  </si>
  <si>
    <t xml:space="preserve">~$10-50K/library; Addgene or custom; COST_MODEL §4</t>
  </si>
  <si>
    <t xml:space="preserve">Lentivirus production + titering</t>
  </si>
  <si>
    <t xml:space="preserve">~$10-50K/prep; AAV-free delivery</t>
  </si>
  <si>
    <t xml:space="preserve">Targeted Perturb-seq screens (10x Genomics kit)</t>
  </si>
  <si>
    <t xml:space="preserve">~$5-30K/screen mid; 10x Genomics CRISPR screen kit; COST_MODEL §4</t>
  </si>
  <si>
    <t xml:space="preserve">Genome-scale Perturb-seq (full library)</t>
  </si>
  <si>
    <t xml:space="preserve">~$50-300K/screen; Phase II scale-up</t>
  </si>
  <si>
    <t xml:space="preserve">Optical pooled / Cell Painting reagents</t>
  </si>
  <si>
    <t xml:space="preserve">~$50-500K by scale; mid estimate; COST_MODEL §4</t>
  </si>
  <si>
    <t xml:space="preserve">scRNA-seq consumables (samples)</t>
  </si>
  <si>
    <t xml:space="preserve">~$200-700/sample mid; 10x Chromium + NovaSeq flow cells</t>
  </si>
  <si>
    <t xml:space="preserve">iPSC cell line acquisition + QC</t>
  </si>
  <si>
    <t xml:space="preserve">Commercial or academic; ~$5-15K/line; QC included</t>
  </si>
  <si>
    <t xml:space="preserve">CRISPR editing + validation reagents</t>
  </si>
  <si>
    <t xml:space="preserve">RNPs, HDR templates, sequencing verification; aggregate</t>
  </si>
  <si>
    <t xml:space="preserve">Cell culture media + plasticware (consumable)</t>
  </si>
  <si>
    <t xml:space="preserve">Annual consumable budget; TA4 multi-lab</t>
  </si>
  <si>
    <t xml:space="preserve">Materials reserve / contingency</t>
  </si>
  <si>
    <t xml:space="preserve">~2.5% reserve on $6.0M materials budget</t>
  </si>
  <si>
    <t xml:space="preserve">TOTAL MATERIALS</t>
  </si>
  <si>
    <t xml:space="preserve">Target: ~$6.0M | Source: COST_MODEL.md §3-4, 2026-06-12</t>
  </si>
  <si>
    <t xml:space="preserve">Indirect Costs &amp; Fee — ~$9.0M Indirect + ~$1.5M Fee</t>
  </si>
  <si>
    <t xml:space="preserve">INDIRECT COSTS (F&amp;A / Overhead)</t>
  </si>
  <si>
    <t xml:space="preserve">Rate</t>
  </si>
  <si>
    <t xml:space="preserve">MTDC Base Est. ($)</t>
  </si>
  <si>
    <t xml:space="preserve">Indirect Amount ($)</t>
  </si>
  <si>
    <t xml:space="preserve">Notes / Regulatory Basis</t>
  </si>
  <si>
    <t xml:space="preserve">15% de minimis MTDC; 2 CFR 200.414(f); OT may negotiate actuals</t>
  </si>
  <si>
    <t xml:space="preserve">IPAI / Purdue</t>
  </si>
  <si>
    <t xml:space="preserve">~57% on-campus F&amp;A; Purdue negotiated rate; COST_MODEL §4</t>
  </si>
  <si>
    <t xml:space="preserve">HMS/Broad F&amp;A rate (illustrative ~50% on-campus)</t>
  </si>
  <si>
    <t xml:space="preserve">Commercial; OH embedded in loaded rate; 0% separate F&amp;A</t>
  </si>
  <si>
    <t xml:space="preserve">Commercial; OH embedded in loaded rate</t>
  </si>
  <si>
    <t xml:space="preserve">TOTAL INDIRECT</t>
  </si>
  <si>
    <t xml:space="preserve">PROFIT / FEE (Commercial Performers Only)</t>
  </si>
  <si>
    <t xml:space="preserve">Fee Rate</t>
  </si>
  <si>
    <t xml:space="preserve">Cost Base ($)</t>
  </si>
  <si>
    <t xml:space="preserve">Fee Amount ($)</t>
  </si>
  <si>
    <t xml:space="preserve">Nonprofit 501(c)(3); no fee</t>
  </si>
  <si>
    <t xml:space="preserve">University; no fee</t>
  </si>
  <si>
    <t xml:space="preserve">Academic; no fee</t>
  </si>
  <si>
    <t xml:space="preserve">Commercial sub; ~7-10% fee; COST_MODEL §3</t>
  </si>
  <si>
    <t xml:space="preserve">Commercial sub; ~7-10% fee</t>
  </si>
  <si>
    <t xml:space="preserve">Commercial sub; ~7% fee; COST_MODEL §3</t>
  </si>
  <si>
    <t xml:space="preserve">Commercial sub; ~7% fee</t>
  </si>
  <si>
    <t xml:space="preserve">TOTAL FEE</t>
  </si>
  <si>
    <t xml:space="preserve">Note: Indirect ~$9.0M; Fee ~$1.5M. MTDC base excludes subaward amounts above first $50K each (2 CFR 200.331). OT negotiation will finalize actuals.</t>
  </si>
  <si>
    <t xml:space="preserve">Performer In-Kind Resource Sharing — ~$4.0M</t>
  </si>
  <si>
    <t xml:space="preserve">In-kind not included in $50.0M ARPA-H request; evaluated positively under Criterion 4 | Source: COST_MODEL.md §6, 2026-06-12</t>
  </si>
  <si>
    <t xml:space="preserve">Resource Description</t>
  </si>
  <si>
    <t xml:space="preserve">Contributing Partner</t>
  </si>
  <si>
    <t xml:space="preserve">Type</t>
  </si>
  <si>
    <t xml:space="preserve">Estimated Value ($)</t>
  </si>
  <si>
    <t xml:space="preserve">Phases Covered</t>
  </si>
  <si>
    <t xml:space="preserve">Billion Cell Atlas perturbation data access</t>
  </si>
  <si>
    <t xml:space="preserve">Data</t>
  </si>
  <si>
    <t xml:space="preserve">BCA multi-TB single-cell perturbation dataset; Illumina partner value; COST_MODEL §6</t>
  </si>
  <si>
    <t xml:space="preserve">Illumina sequencing credits (subsidized)</t>
  </si>
  <si>
    <t xml:space="preserve">Service Credits</t>
  </si>
  <si>
    <t xml:space="preserve">Discounted NovaSeq X flow cells; COST_MODEL §6</t>
  </si>
  <si>
    <t xml:space="preserve">Cellanome R3200 instrument access (discount)</t>
  </si>
  <si>
    <t xml:space="preserve">Instrument Access</t>
  </si>
  <si>
    <t xml:space="preserve">Live-cell single-cell instrument; partner discount vs. list price; COST_MODEL §6</t>
  </si>
  <si>
    <t xml:space="preserve">Cloud compute research credits (AWS/GCP)</t>
  </si>
  <si>
    <t xml:space="preserve">AWS / GCP</t>
  </si>
  <si>
    <t xml:space="preserve">Cloud Credits</t>
  </si>
  <si>
    <t xml:space="preserve">Research credit programs; TA1/TA2 GPU workloads; COST_MODEL §6</t>
  </si>
  <si>
    <t xml:space="preserve">Broad/JUMP Cell Painting reference data</t>
  </si>
  <si>
    <t xml:space="preserve">Broad/JUMP</t>
  </si>
  <si>
    <t xml:space="preserve">Data (Open)</t>
  </si>
  <si>
    <t xml:space="preserve">Public reference dataset; leverages prior public investment; open access</t>
  </si>
  <si>
    <t xml:space="preserve">In-kind contingency / unlisted items</t>
  </si>
  <si>
    <t xml:space="preserve">Mixed</t>
  </si>
  <si>
    <t xml:space="preserve">Additional resource-sharing items TBD during OT negotiation</t>
  </si>
  <si>
    <t xml:space="preserve">TOTAL IN-KIND RESOURCE SHARING</t>
  </si>
  <si>
    <t xml:space="preserve">Total project value = ARPA-H $50.0M + in-kind ~$4.0M = ~$54.0M. In-kind is NOT cost-share (not required); it is offered to strengthen Criterion 4 evaluation.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</si>
</sst>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@"/>
    <numFmt numFmtId="167" formatCode="0.0%;\-0.0%;\-"/>
    <numFmt numFmtId="168" formatCode="0.0"/>
    <numFmt numFmtId="169" formatCode="#,##0;\(#,##0\);\-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9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8"/>
    <col collapsed="false" customWidth="true" hidden="false" outlineLevel="0" max="6" min="6" style="1" width="2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.75" hidden="false" customHeight="true" outlineLevel="0" collapsed="false">
      <c r="A5" s="5" t="s">
        <v>3</v>
      </c>
      <c r="B5" s="5" t="s">
        <v>4</v>
      </c>
      <c r="C5" s="5" t="s">
        <v>5</v>
      </c>
      <c r="D5" s="5"/>
      <c r="E5" s="5"/>
      <c r="F5" s="5"/>
    </row>
    <row r="6" customFormat="false" ht="15" hidden="false" customHeight="true" outlineLevel="0" collapsed="false">
      <c r="A6" s="6" t="s">
        <v>6</v>
      </c>
      <c r="B6" s="7" t="n">
        <f aca="false">'By Performer x Phase'!C12</f>
        <v>13500000</v>
      </c>
      <c r="C6" s="6" t="s">
        <v>7</v>
      </c>
      <c r="D6" s="6"/>
      <c r="E6" s="6"/>
      <c r="F6" s="6"/>
    </row>
    <row r="7" customFormat="false" ht="15" hidden="false" customHeight="true" outlineLevel="0" collapsed="false">
      <c r="A7" s="6" t="s">
        <v>8</v>
      </c>
      <c r="B7" s="7" t="n">
        <f aca="false">'By Performer x Phase'!D12</f>
        <v>15000000</v>
      </c>
      <c r="C7" s="6"/>
      <c r="D7" s="6"/>
      <c r="E7" s="6"/>
      <c r="F7" s="6"/>
    </row>
    <row r="8" customFormat="false" ht="15" hidden="false" customHeight="true" outlineLevel="0" collapsed="false">
      <c r="A8" s="6" t="s">
        <v>9</v>
      </c>
      <c r="B8" s="7" t="n">
        <f aca="false">'By Performer x Phase'!E12</f>
        <v>21500000</v>
      </c>
      <c r="C8" s="6"/>
      <c r="D8" s="6"/>
      <c r="E8" s="6"/>
      <c r="F8" s="6"/>
    </row>
    <row r="9" customFormat="false" ht="15" hidden="false" customHeight="true" outlineLevel="0" collapsed="false">
      <c r="A9" s="8" t="s">
        <v>10</v>
      </c>
      <c r="B9" s="9" t="n">
        <f aca="false">'By Performer x Phase'!F12</f>
        <v>50000000</v>
      </c>
      <c r="C9" s="10" t="s">
        <v>11</v>
      </c>
      <c r="D9" s="10"/>
      <c r="E9" s="10"/>
      <c r="F9" s="10"/>
    </row>
    <row r="10" customFormat="false" ht="15" hidden="false" customHeight="true" outlineLevel="0" collapsed="false">
      <c r="A10" s="6" t="s">
        <v>12</v>
      </c>
      <c r="B10" s="11" t="n">
        <v>4000000</v>
      </c>
      <c r="C10" s="6" t="s">
        <v>13</v>
      </c>
      <c r="D10" s="6"/>
      <c r="E10" s="6"/>
      <c r="F10" s="6"/>
    </row>
    <row r="11" customFormat="false" ht="15" hidden="false" customHeight="true" outlineLevel="0" collapsed="false">
      <c r="A11" s="6" t="s">
        <v>14</v>
      </c>
      <c r="B11" s="11" t="n">
        <v>54000000</v>
      </c>
      <c r="C11" s="6" t="s">
        <v>15</v>
      </c>
      <c r="D11" s="6"/>
      <c r="E11" s="6"/>
      <c r="F11" s="6"/>
    </row>
    <row r="13" customFormat="false" ht="18" hidden="false" customHeight="true" outlineLevel="0" collapsed="false">
      <c r="A13" s="4" t="s">
        <v>16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17</v>
      </c>
      <c r="B14" s="5" t="s">
        <v>18</v>
      </c>
      <c r="C14" s="5" t="s">
        <v>19</v>
      </c>
      <c r="D14" s="5" t="s">
        <v>20</v>
      </c>
      <c r="E14" s="5" t="s">
        <v>5</v>
      </c>
    </row>
    <row r="15" customFormat="false" ht="15" hidden="false" customHeight="true" outlineLevel="0" collapsed="false">
      <c r="A15" s="12" t="s">
        <v>21</v>
      </c>
      <c r="B15" s="13" t="s">
        <v>22</v>
      </c>
      <c r="C15" s="14" t="n">
        <f aca="false">'By Performer x Phase'!C12</f>
        <v>13500000</v>
      </c>
      <c r="D15" s="15" t="n">
        <f aca="false">C15/C18</f>
        <v>0.27</v>
      </c>
    </row>
    <row r="16" customFormat="false" ht="15" hidden="false" customHeight="true" outlineLevel="0" collapsed="false">
      <c r="A16" s="6" t="s">
        <v>23</v>
      </c>
      <c r="B16" s="16" t="s">
        <v>22</v>
      </c>
      <c r="C16" s="7" t="n">
        <f aca="false">'By Performer x Phase'!D12</f>
        <v>15000000</v>
      </c>
      <c r="D16" s="17" t="n">
        <f aca="false">C16/C18</f>
        <v>0.3</v>
      </c>
    </row>
    <row r="17" customFormat="false" ht="15" hidden="false" customHeight="true" outlineLevel="0" collapsed="false">
      <c r="A17" s="12" t="s">
        <v>24</v>
      </c>
      <c r="B17" s="13" t="s">
        <v>25</v>
      </c>
      <c r="C17" s="14" t="n">
        <f aca="false">'By Performer x Phase'!E12</f>
        <v>21500000</v>
      </c>
      <c r="D17" s="15" t="n">
        <f aca="false">C17/C18</f>
        <v>0.43</v>
      </c>
    </row>
    <row r="18" customFormat="false" ht="15" hidden="false" customHeight="true" outlineLevel="0" collapsed="false">
      <c r="A18" s="18" t="s">
        <v>26</v>
      </c>
      <c r="B18" s="19" t="s">
        <v>27</v>
      </c>
      <c r="C18" s="20" t="n">
        <f aca="false">SUM(C15:C17)</f>
        <v>50000000</v>
      </c>
      <c r="D18" s="21" t="n">
        <f aca="false">C18/C18</f>
        <v>1</v>
      </c>
    </row>
    <row r="20" customFormat="false" ht="18" hidden="false" customHeight="true" outlineLevel="0" collapsed="false">
      <c r="A20" s="4" t="s">
        <v>28</v>
      </c>
      <c r="B20" s="4"/>
      <c r="C20" s="4"/>
      <c r="D20" s="4"/>
      <c r="E20" s="4"/>
      <c r="F20" s="4"/>
    </row>
    <row r="21" customFormat="false" ht="15" hidden="false" customHeight="true" outlineLevel="0" collapsed="false">
      <c r="A21" s="5" t="s">
        <v>29</v>
      </c>
      <c r="B21" s="5" t="s">
        <v>4</v>
      </c>
      <c r="C21" s="5" t="s">
        <v>20</v>
      </c>
      <c r="D21" s="5" t="s">
        <v>5</v>
      </c>
    </row>
    <row r="22" customFormat="false" ht="15" hidden="false" customHeight="true" outlineLevel="0" collapsed="false">
      <c r="A22" s="12" t="s">
        <v>30</v>
      </c>
      <c r="B22" s="22" t="n">
        <v>22000000</v>
      </c>
      <c r="C22" s="15" t="n">
        <f aca="false">B22/$B$30</f>
        <v>0.44</v>
      </c>
      <c r="D22" s="12" t="s">
        <v>31</v>
      </c>
      <c r="E22" s="12"/>
      <c r="F22" s="12"/>
    </row>
    <row r="23" customFormat="false" ht="15" hidden="false" customHeight="true" outlineLevel="0" collapsed="false">
      <c r="A23" s="6" t="s">
        <v>32</v>
      </c>
      <c r="B23" s="11" t="n">
        <v>1000000</v>
      </c>
      <c r="C23" s="17" t="n">
        <f aca="false">B23/$B$30</f>
        <v>0.02</v>
      </c>
      <c r="D23" s="6" t="s">
        <v>33</v>
      </c>
      <c r="E23" s="6"/>
      <c r="F23" s="6"/>
    </row>
    <row r="24" customFormat="false" ht="15" hidden="false" customHeight="true" outlineLevel="0" collapsed="false">
      <c r="A24" s="12" t="s">
        <v>34</v>
      </c>
      <c r="B24" s="22" t="n">
        <v>6000000</v>
      </c>
      <c r="C24" s="15" t="n">
        <f aca="false">B24/$B$30</f>
        <v>0.12</v>
      </c>
      <c r="D24" s="12" t="s">
        <v>35</v>
      </c>
      <c r="E24" s="12"/>
      <c r="F24" s="12"/>
    </row>
    <row r="25" customFormat="false" ht="15" hidden="false" customHeight="true" outlineLevel="0" collapsed="false">
      <c r="A25" s="6" t="s">
        <v>36</v>
      </c>
      <c r="B25" s="11" t="n">
        <v>2500000</v>
      </c>
      <c r="C25" s="17" t="n">
        <f aca="false">B25/$B$30</f>
        <v>0.05</v>
      </c>
      <c r="D25" s="6" t="s">
        <v>37</v>
      </c>
      <c r="E25" s="6"/>
      <c r="F25" s="6"/>
    </row>
    <row r="26" customFormat="false" ht="15" hidden="false" customHeight="true" outlineLevel="0" collapsed="false">
      <c r="A26" s="12" t="s">
        <v>38</v>
      </c>
      <c r="B26" s="22" t="n">
        <v>1000000</v>
      </c>
      <c r="C26" s="15" t="n">
        <f aca="false">B26/$B$30</f>
        <v>0.02</v>
      </c>
      <c r="D26" s="12" t="s">
        <v>39</v>
      </c>
      <c r="E26" s="12"/>
      <c r="F26" s="12"/>
    </row>
    <row r="27" customFormat="false" ht="15" hidden="false" customHeight="true" outlineLevel="0" collapsed="false">
      <c r="A27" s="6" t="s">
        <v>40</v>
      </c>
      <c r="B27" s="11" t="n">
        <v>7000000</v>
      </c>
      <c r="C27" s="17" t="n">
        <f aca="false">B27/$B$30</f>
        <v>0.14</v>
      </c>
      <c r="D27" s="6" t="s">
        <v>41</v>
      </c>
      <c r="E27" s="6"/>
      <c r="F27" s="6"/>
    </row>
    <row r="28" customFormat="false" ht="15" hidden="false" customHeight="true" outlineLevel="0" collapsed="false">
      <c r="A28" s="12" t="s">
        <v>42</v>
      </c>
      <c r="B28" s="22" t="n">
        <v>9000000</v>
      </c>
      <c r="C28" s="15" t="n">
        <f aca="false">B28/$B$30</f>
        <v>0.18</v>
      </c>
      <c r="D28" s="12" t="s">
        <v>43</v>
      </c>
      <c r="E28" s="12"/>
      <c r="F28" s="12"/>
    </row>
    <row r="29" customFormat="false" ht="15" hidden="false" customHeight="true" outlineLevel="0" collapsed="false">
      <c r="A29" s="6" t="s">
        <v>44</v>
      </c>
      <c r="B29" s="11" t="n">
        <v>1500000</v>
      </c>
      <c r="C29" s="17" t="n">
        <f aca="false">B29/$B$30</f>
        <v>0.03</v>
      </c>
      <c r="D29" s="6" t="s">
        <v>45</v>
      </c>
      <c r="E29" s="6"/>
      <c r="F29" s="6"/>
    </row>
    <row r="30" customFormat="false" ht="15" hidden="false" customHeight="true" outlineLevel="0" collapsed="false">
      <c r="A30" s="18" t="s">
        <v>26</v>
      </c>
      <c r="B30" s="20" t="n">
        <f aca="false">SUM(B22:B29)</f>
        <v>50000000</v>
      </c>
      <c r="C30" s="21" t="n">
        <f aca="false">B30/B30</f>
        <v>1</v>
      </c>
    </row>
  </sheetData>
  <mergeCells count="20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A13:F13"/>
    <mergeCell ref="A20:F20"/>
    <mergeCell ref="D22:F22"/>
    <mergeCell ref="D23:F23"/>
    <mergeCell ref="D24:F24"/>
    <mergeCell ref="D25:F25"/>
    <mergeCell ref="D26:F26"/>
    <mergeCell ref="D27:F27"/>
    <mergeCell ref="D28:F28"/>
    <mergeCell ref="D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28"/>
  </cols>
  <sheetData>
    <row r="1" customFormat="false" ht="21.75" hidden="false" customHeight="true" outlineLevel="0" collapsed="false">
      <c r="A1" s="23" t="s">
        <v>46</v>
      </c>
      <c r="B1" s="23"/>
      <c r="C1" s="23"/>
      <c r="D1" s="23"/>
      <c r="E1" s="23"/>
      <c r="F1" s="23"/>
      <c r="G1" s="23"/>
    </row>
    <row r="3" customFormat="false" ht="27.75" hidden="false" customHeight="true" outlineLevel="0" collapsed="false">
      <c r="A3" s="24" t="s">
        <v>47</v>
      </c>
      <c r="B3" s="24" t="s">
        <v>48</v>
      </c>
      <c r="C3" s="24" t="s">
        <v>49</v>
      </c>
      <c r="D3" s="24" t="s">
        <v>50</v>
      </c>
      <c r="E3" s="24" t="s">
        <v>51</v>
      </c>
      <c r="F3" s="24" t="s">
        <v>52</v>
      </c>
      <c r="G3" s="24" t="s">
        <v>5</v>
      </c>
    </row>
    <row r="4" customFormat="false" ht="15" hidden="false" customHeight="true" outlineLevel="0" collapsed="false">
      <c r="A4" s="12" t="s">
        <v>53</v>
      </c>
      <c r="B4" s="12" t="s">
        <v>54</v>
      </c>
      <c r="C4" s="22" t="n">
        <v>1900000</v>
      </c>
      <c r="D4" s="22" t="n">
        <v>2100000</v>
      </c>
      <c r="E4" s="22" t="n">
        <v>3000000</v>
      </c>
      <c r="F4" s="25" t="n">
        <f aca="false">SUM(C4:E4)</f>
        <v>7000000</v>
      </c>
      <c r="G4" s="12" t="s">
        <v>55</v>
      </c>
    </row>
    <row r="5" customFormat="false" ht="15" hidden="false" customHeight="true" outlineLevel="0" collapsed="false">
      <c r="A5" s="26" t="s">
        <v>56</v>
      </c>
      <c r="B5" s="27" t="s">
        <v>57</v>
      </c>
      <c r="C5" s="28" t="n">
        <v>4000000</v>
      </c>
      <c r="D5" s="28" t="n">
        <v>4200000</v>
      </c>
      <c r="E5" s="28" t="n">
        <v>5800000</v>
      </c>
      <c r="F5" s="29" t="n">
        <f aca="false">SUM(C5:E5)</f>
        <v>14000000</v>
      </c>
      <c r="G5" s="27" t="s">
        <v>58</v>
      </c>
    </row>
    <row r="6" customFormat="false" ht="15" hidden="false" customHeight="true" outlineLevel="0" collapsed="false">
      <c r="A6" s="12" t="s">
        <v>59</v>
      </c>
      <c r="B6" s="12" t="s">
        <v>60</v>
      </c>
      <c r="C6" s="22" t="n">
        <v>1100000</v>
      </c>
      <c r="D6" s="22" t="n">
        <v>1200000</v>
      </c>
      <c r="E6" s="22" t="n">
        <v>1700000</v>
      </c>
      <c r="F6" s="25" t="n">
        <f aca="false">SUM(C6:E6)</f>
        <v>4000000</v>
      </c>
      <c r="G6" s="12" t="s">
        <v>61</v>
      </c>
    </row>
    <row r="7" customFormat="false" ht="15" hidden="false" customHeight="true" outlineLevel="0" collapsed="false">
      <c r="A7" s="6" t="s">
        <v>62</v>
      </c>
      <c r="B7" s="6" t="s">
        <v>63</v>
      </c>
      <c r="C7" s="11" t="n">
        <v>1500000</v>
      </c>
      <c r="D7" s="11" t="n">
        <v>1500000</v>
      </c>
      <c r="E7" s="11" t="n">
        <v>2000000</v>
      </c>
      <c r="F7" s="30" t="n">
        <f aca="false">SUM(C7:E7)</f>
        <v>5000000</v>
      </c>
      <c r="G7" s="6" t="s">
        <v>64</v>
      </c>
    </row>
    <row r="8" customFormat="false" ht="15" hidden="false" customHeight="true" outlineLevel="0" collapsed="false">
      <c r="A8" s="12" t="s">
        <v>65</v>
      </c>
      <c r="B8" s="12" t="s">
        <v>66</v>
      </c>
      <c r="C8" s="22" t="n">
        <v>1300000</v>
      </c>
      <c r="D8" s="22" t="n">
        <v>1500000</v>
      </c>
      <c r="E8" s="22" t="n">
        <v>2200000</v>
      </c>
      <c r="F8" s="25" t="n">
        <f aca="false">SUM(C8:E8)</f>
        <v>5000000</v>
      </c>
      <c r="G8" s="12" t="s">
        <v>67</v>
      </c>
    </row>
    <row r="9" customFormat="false" ht="15" hidden="false" customHeight="true" outlineLevel="0" collapsed="false">
      <c r="A9" s="6" t="s">
        <v>68</v>
      </c>
      <c r="B9" s="6" t="s">
        <v>69</v>
      </c>
      <c r="C9" s="11" t="n">
        <v>2000000</v>
      </c>
      <c r="D9" s="11" t="n">
        <v>2400000</v>
      </c>
      <c r="E9" s="11" t="n">
        <v>3600000</v>
      </c>
      <c r="F9" s="30" t="n">
        <f aca="false">SUM(C9:E9)</f>
        <v>8000000</v>
      </c>
      <c r="G9" s="6" t="s">
        <v>70</v>
      </c>
    </row>
    <row r="10" customFormat="false" ht="15" hidden="false" customHeight="true" outlineLevel="0" collapsed="false">
      <c r="A10" s="12" t="s">
        <v>71</v>
      </c>
      <c r="B10" s="12" t="s">
        <v>72</v>
      </c>
      <c r="C10" s="22" t="n">
        <v>900000</v>
      </c>
      <c r="D10" s="22" t="n">
        <v>1200000</v>
      </c>
      <c r="E10" s="22" t="n">
        <v>1900000</v>
      </c>
      <c r="F10" s="25" t="n">
        <f aca="false">SUM(C10:E10)</f>
        <v>4000000</v>
      </c>
      <c r="G10" s="12" t="s">
        <v>73</v>
      </c>
    </row>
    <row r="11" customFormat="false" ht="15" hidden="false" customHeight="true" outlineLevel="0" collapsed="false">
      <c r="A11" s="6" t="s">
        <v>74</v>
      </c>
      <c r="B11" s="6" t="s">
        <v>75</v>
      </c>
      <c r="C11" s="11" t="n">
        <v>800000</v>
      </c>
      <c r="D11" s="11" t="n">
        <v>900000</v>
      </c>
      <c r="E11" s="11" t="n">
        <v>1300000</v>
      </c>
      <c r="F11" s="30" t="n">
        <f aca="false">SUM(C11:E11)</f>
        <v>3000000</v>
      </c>
      <c r="G11" s="6" t="s">
        <v>76</v>
      </c>
    </row>
    <row r="12" customFormat="false" ht="15.75" hidden="false" customHeight="true" outlineLevel="0" collapsed="false">
      <c r="A12" s="8" t="s">
        <v>77</v>
      </c>
      <c r="B12" s="10"/>
      <c r="C12" s="31" t="n">
        <f aca="false">SUM(C4:C11)</f>
        <v>13500000</v>
      </c>
      <c r="D12" s="31" t="n">
        <f aca="false">SUM(D4:D11)</f>
        <v>15000000</v>
      </c>
      <c r="E12" s="31" t="n">
        <f aca="false">SUM(E4:E11)</f>
        <v>21500000</v>
      </c>
      <c r="F12" s="31" t="n">
        <f aca="false">SUM(F4:F11)</f>
        <v>50000000</v>
      </c>
      <c r="G12" s="10" t="s">
        <v>11</v>
      </c>
    </row>
    <row r="13" customFormat="false" ht="15" hidden="false" customHeight="true" outlineLevel="0" collapsed="false">
      <c r="A13" s="32" t="str">
        <f aca="false">IF(F12=50000000,"✓ Grand total = $50,000,000","⚠ ERROR: Grand total does not equal $50,000,000")</f>
        <v>✓ Grand total = $50,000,000</v>
      </c>
      <c r="B13" s="32"/>
      <c r="C13" s="32"/>
      <c r="D13" s="32"/>
      <c r="E13" s="32"/>
      <c r="F13" s="32"/>
      <c r="G13" s="32"/>
    </row>
    <row r="14" customFormat="false" ht="15" hidden="false" customHeight="true" outlineLevel="0" collapsed="false">
      <c r="A14" s="32" t="str">
        <f aca="false">IF(AND(C12=13500000,D12=15000000,E12=21500000),"✓ Phase totals correct (I=$13.5M, II=$15.0M, III=$21.5M)","⚠ Phase totals mismatch")</f>
        <v>✓ Phase totals correct (I=$13.5M, II=$15.0M, III=$21.5M)</v>
      </c>
      <c r="B14" s="32"/>
      <c r="C14" s="32"/>
      <c r="D14" s="32"/>
      <c r="E14" s="32"/>
      <c r="F14" s="32"/>
      <c r="G14" s="32"/>
    </row>
  </sheetData>
  <mergeCells count="3">
    <mergeCell ref="A1:G1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6" min="3" style="1" width="14"/>
    <col collapsed="false" customWidth="true" hidden="false" outlineLevel="0" max="7" min="7" style="1" width="16"/>
    <col collapsed="false" customWidth="true" hidden="false" outlineLevel="0" max="8" min="8" style="1" width="30"/>
  </cols>
  <sheetData>
    <row r="1" customFormat="false" ht="21.75" hidden="false" customHeight="true" outlineLevel="0" collapsed="false">
      <c r="A1" s="33" t="s">
        <v>78</v>
      </c>
      <c r="B1" s="33"/>
      <c r="C1" s="33"/>
      <c r="D1" s="33"/>
      <c r="E1" s="33"/>
      <c r="F1" s="33"/>
      <c r="G1" s="33"/>
      <c r="H1" s="33"/>
    </row>
    <row r="2" customFormat="false" ht="15" hidden="false" customHeight="true" outlineLevel="0" collapsed="false">
      <c r="A2" s="34" t="s">
        <v>79</v>
      </c>
      <c r="B2" s="34"/>
      <c r="C2" s="34"/>
      <c r="D2" s="34"/>
      <c r="E2" s="34"/>
      <c r="F2" s="34"/>
      <c r="G2" s="34"/>
      <c r="H2" s="34"/>
    </row>
    <row r="4" customFormat="false" ht="27.75" hidden="false" customHeight="true" outlineLevel="0" collapsed="false">
      <c r="A4" s="24" t="s">
        <v>80</v>
      </c>
      <c r="B4" s="24" t="s">
        <v>81</v>
      </c>
      <c r="C4" s="24" t="s">
        <v>82</v>
      </c>
      <c r="D4" s="24" t="s">
        <v>83</v>
      </c>
      <c r="E4" s="24" t="s">
        <v>84</v>
      </c>
      <c r="F4" s="24" t="s">
        <v>85</v>
      </c>
      <c r="G4" s="24" t="s">
        <v>17</v>
      </c>
      <c r="H4" s="24" t="s">
        <v>86</v>
      </c>
    </row>
    <row r="5" customFormat="false" ht="15.75" hidden="false" customHeight="true" outlineLevel="0" collapsed="false">
      <c r="A5" s="35" t="s">
        <v>87</v>
      </c>
      <c r="B5" s="35"/>
      <c r="C5" s="35"/>
      <c r="D5" s="35"/>
      <c r="E5" s="35"/>
      <c r="F5" s="35"/>
      <c r="G5" s="35"/>
      <c r="H5" s="35"/>
    </row>
    <row r="6" customFormat="false" ht="15" hidden="false" customHeight="true" outlineLevel="0" collapsed="false">
      <c r="A6" s="36" t="s">
        <v>88</v>
      </c>
      <c r="B6" s="12" t="s">
        <v>89</v>
      </c>
      <c r="C6" s="37" t="n">
        <v>0.5</v>
      </c>
      <c r="D6" s="22" t="n">
        <v>100000</v>
      </c>
      <c r="E6" s="38" t="n">
        <f aca="false">C6*1880</f>
        <v>940</v>
      </c>
      <c r="F6" s="25" t="n">
        <f aca="false">C6*D6*5</f>
        <v>250000</v>
      </c>
      <c r="G6" s="12" t="s">
        <v>90</v>
      </c>
      <c r="H6" s="12" t="s">
        <v>91</v>
      </c>
    </row>
    <row r="7" customFormat="false" ht="15" hidden="false" customHeight="true" outlineLevel="0" collapsed="false">
      <c r="A7" s="39" t="s">
        <v>92</v>
      </c>
      <c r="B7" s="6" t="s">
        <v>89</v>
      </c>
      <c r="C7" s="40" t="n">
        <v>1</v>
      </c>
      <c r="D7" s="11" t="n">
        <v>250000</v>
      </c>
      <c r="E7" s="41" t="n">
        <f aca="false">C7*1880</f>
        <v>1880</v>
      </c>
      <c r="F7" s="30" t="n">
        <f aca="false">C7*D7*5</f>
        <v>1250000</v>
      </c>
      <c r="G7" s="6" t="s">
        <v>90</v>
      </c>
      <c r="H7" s="6" t="s">
        <v>93</v>
      </c>
    </row>
    <row r="8" customFormat="false" ht="15" hidden="false" customHeight="true" outlineLevel="0" collapsed="false">
      <c r="A8" s="36" t="s">
        <v>94</v>
      </c>
      <c r="B8" s="12" t="s">
        <v>89</v>
      </c>
      <c r="C8" s="37" t="n">
        <v>1</v>
      </c>
      <c r="D8" s="22" t="n">
        <v>260000</v>
      </c>
      <c r="E8" s="38" t="n">
        <f aca="false">C8*1880</f>
        <v>1880</v>
      </c>
      <c r="F8" s="25" t="n">
        <f aca="false">C8*D8*5</f>
        <v>1300000</v>
      </c>
      <c r="G8" s="12" t="s">
        <v>90</v>
      </c>
      <c r="H8" s="12" t="s">
        <v>95</v>
      </c>
    </row>
    <row r="9" customFormat="false" ht="15" hidden="false" customHeight="true" outlineLevel="0" collapsed="false">
      <c r="A9" s="39" t="s">
        <v>96</v>
      </c>
      <c r="B9" s="6" t="s">
        <v>89</v>
      </c>
      <c r="C9" s="40" t="n">
        <v>1</v>
      </c>
      <c r="D9" s="11" t="n">
        <v>240000</v>
      </c>
      <c r="E9" s="41" t="n">
        <f aca="false">C9*1880</f>
        <v>1880</v>
      </c>
      <c r="F9" s="30" t="n">
        <f aca="false">C9*D9*5</f>
        <v>1200000</v>
      </c>
      <c r="G9" s="6" t="s">
        <v>90</v>
      </c>
      <c r="H9" s="6" t="s">
        <v>97</v>
      </c>
    </row>
    <row r="10" customFormat="false" ht="15" hidden="false" customHeight="true" outlineLevel="0" collapsed="false">
      <c r="A10" s="36" t="s">
        <v>98</v>
      </c>
      <c r="B10" s="12" t="s">
        <v>89</v>
      </c>
      <c r="C10" s="37" t="n">
        <v>2</v>
      </c>
      <c r="D10" s="22" t="n">
        <v>210000</v>
      </c>
      <c r="E10" s="38" t="n">
        <f aca="false">C10*1880</f>
        <v>3760</v>
      </c>
      <c r="F10" s="25" t="n">
        <f aca="false">C10*D10*5</f>
        <v>2100000</v>
      </c>
      <c r="G10" s="12" t="s">
        <v>90</v>
      </c>
      <c r="H10" s="12" t="s">
        <v>99</v>
      </c>
    </row>
    <row r="11" customFormat="false" ht="15" hidden="false" customHeight="true" outlineLevel="0" collapsed="false">
      <c r="A11" s="39" t="s">
        <v>100</v>
      </c>
      <c r="B11" s="6" t="s">
        <v>89</v>
      </c>
      <c r="C11" s="40" t="n">
        <v>1</v>
      </c>
      <c r="D11" s="11" t="n">
        <v>200000</v>
      </c>
      <c r="E11" s="41" t="n">
        <f aca="false">C11*1880</f>
        <v>1880</v>
      </c>
      <c r="F11" s="30" t="n">
        <f aca="false">C11*D11*5</f>
        <v>1000000</v>
      </c>
      <c r="G11" s="6" t="s">
        <v>90</v>
      </c>
      <c r="H11" s="6" t="s">
        <v>97</v>
      </c>
    </row>
    <row r="12" customFormat="false" ht="15" hidden="false" customHeight="true" outlineLevel="0" collapsed="false">
      <c r="A12" s="36" t="s">
        <v>101</v>
      </c>
      <c r="B12" s="12" t="s">
        <v>89</v>
      </c>
      <c r="C12" s="37" t="n">
        <v>1</v>
      </c>
      <c r="D12" s="22" t="n">
        <v>120000</v>
      </c>
      <c r="E12" s="38" t="n">
        <f aca="false">C12*1880</f>
        <v>1880</v>
      </c>
      <c r="F12" s="25" t="n">
        <f aca="false">C12*D12*5</f>
        <v>600000</v>
      </c>
      <c r="G12" s="12" t="s">
        <v>90</v>
      </c>
      <c r="H12" s="12" t="s">
        <v>102</v>
      </c>
    </row>
    <row r="13" customFormat="false" ht="15" hidden="false" customHeight="true" outlineLevel="0" collapsed="false">
      <c r="A13" s="8" t="s">
        <v>103</v>
      </c>
      <c r="B13" s="10" t="s">
        <v>89</v>
      </c>
      <c r="C13" s="42" t="n">
        <f aca="false">SUM(C6:C12)</f>
        <v>7.5</v>
      </c>
      <c r="D13" s="20" t="n">
        <f aca="false">SUMPRODUCT(C6:C12,D6:D12)/SUM(C6:C12)</f>
        <v>205333.333333333</v>
      </c>
      <c r="E13" s="43" t="n">
        <f aca="false">SUM(E6:E12)</f>
        <v>14100</v>
      </c>
      <c r="F13" s="20" t="n">
        <f aca="false">SUM(F6:F12)</f>
        <v>7700000</v>
      </c>
    </row>
    <row r="15" customFormat="false" ht="15.75" hidden="false" customHeight="true" outlineLevel="0" collapsed="false">
      <c r="A15" s="35" t="s">
        <v>104</v>
      </c>
      <c r="B15" s="35"/>
      <c r="C15" s="35"/>
      <c r="D15" s="35"/>
      <c r="E15" s="35"/>
      <c r="F15" s="35"/>
      <c r="G15" s="35"/>
      <c r="H15" s="35"/>
    </row>
    <row r="16" customFormat="false" ht="15" hidden="false" customHeight="true" outlineLevel="0" collapsed="false">
      <c r="A16" s="36" t="s">
        <v>53</v>
      </c>
      <c r="B16" s="12" t="s">
        <v>105</v>
      </c>
      <c r="C16" s="37" t="n">
        <v>3.5</v>
      </c>
      <c r="D16" s="22" t="n">
        <v>140000</v>
      </c>
      <c r="E16" s="38" t="n">
        <f aca="false">C16*1880</f>
        <v>6580</v>
      </c>
      <c r="F16" s="25" t="n">
        <f aca="false">C16*D16*5</f>
        <v>2450000</v>
      </c>
      <c r="G16" s="12" t="s">
        <v>90</v>
      </c>
      <c r="H16" s="12" t="s">
        <v>106</v>
      </c>
    </row>
    <row r="17" customFormat="false" ht="15" hidden="false" customHeight="true" outlineLevel="0" collapsed="false">
      <c r="A17" s="39" t="s">
        <v>107</v>
      </c>
      <c r="B17" s="6" t="s">
        <v>107</v>
      </c>
      <c r="C17" s="40" t="n">
        <v>2</v>
      </c>
      <c r="D17" s="11" t="n">
        <v>220000</v>
      </c>
      <c r="E17" s="41" t="n">
        <f aca="false">C17*1880</f>
        <v>3760</v>
      </c>
      <c r="F17" s="30" t="n">
        <f aca="false">C17*D17*5</f>
        <v>2200000</v>
      </c>
      <c r="G17" s="6" t="s">
        <v>90</v>
      </c>
      <c r="H17" s="6" t="s">
        <v>108</v>
      </c>
    </row>
    <row r="18" customFormat="false" ht="15" hidden="false" customHeight="true" outlineLevel="0" collapsed="false">
      <c r="A18" s="36" t="s">
        <v>109</v>
      </c>
      <c r="B18" s="12" t="s">
        <v>109</v>
      </c>
      <c r="C18" s="37" t="n">
        <v>3</v>
      </c>
      <c r="D18" s="22" t="n">
        <v>200000</v>
      </c>
      <c r="E18" s="38" t="n">
        <f aca="false">C18*1880</f>
        <v>5640</v>
      </c>
      <c r="F18" s="25" t="n">
        <f aca="false">C18*D18*5</f>
        <v>3000000</v>
      </c>
      <c r="G18" s="12" t="s">
        <v>90</v>
      </c>
      <c r="H18" s="12" t="s">
        <v>110</v>
      </c>
    </row>
    <row r="19" customFormat="false" ht="15" hidden="false" customHeight="true" outlineLevel="0" collapsed="false">
      <c r="A19" s="39" t="s">
        <v>111</v>
      </c>
      <c r="B19" s="6" t="s">
        <v>112</v>
      </c>
      <c r="C19" s="40" t="n">
        <v>3</v>
      </c>
      <c r="D19" s="11" t="n">
        <v>130000</v>
      </c>
      <c r="E19" s="41" t="n">
        <f aca="false">C19*1880</f>
        <v>5640</v>
      </c>
      <c r="F19" s="30" t="n">
        <f aca="false">C19*D19*5</f>
        <v>1950000</v>
      </c>
      <c r="G19" s="6" t="s">
        <v>90</v>
      </c>
      <c r="H19" s="6" t="s">
        <v>113</v>
      </c>
    </row>
    <row r="20" customFormat="false" ht="15" hidden="false" customHeight="true" outlineLevel="0" collapsed="false">
      <c r="A20" s="36" t="s">
        <v>114</v>
      </c>
      <c r="B20" s="12" t="s">
        <v>114</v>
      </c>
      <c r="C20" s="37" t="n">
        <v>4</v>
      </c>
      <c r="D20" s="22" t="n">
        <v>180000</v>
      </c>
      <c r="E20" s="38" t="n">
        <f aca="false">C20*1880</f>
        <v>7520</v>
      </c>
      <c r="F20" s="25" t="n">
        <f aca="false">C20*D20*5</f>
        <v>3600000</v>
      </c>
      <c r="G20" s="12" t="s">
        <v>90</v>
      </c>
      <c r="H20" s="12" t="s">
        <v>115</v>
      </c>
    </row>
    <row r="21" customFormat="false" ht="15" hidden="false" customHeight="true" outlineLevel="0" collapsed="false">
      <c r="A21" s="39" t="s">
        <v>116</v>
      </c>
      <c r="B21" s="6" t="s">
        <v>116</v>
      </c>
      <c r="C21" s="40" t="n">
        <v>2</v>
      </c>
      <c r="D21" s="11" t="n">
        <v>210000</v>
      </c>
      <c r="E21" s="41" t="n">
        <f aca="false">C21*1880</f>
        <v>3760</v>
      </c>
      <c r="F21" s="30" t="n">
        <f aca="false">C21*D21*5</f>
        <v>2100000</v>
      </c>
      <c r="G21" s="6" t="s">
        <v>90</v>
      </c>
      <c r="H21" s="6" t="s">
        <v>117</v>
      </c>
    </row>
    <row r="22" customFormat="false" ht="15.75" hidden="false" customHeight="true" outlineLevel="0" collapsed="false">
      <c r="A22" s="8" t="s">
        <v>118</v>
      </c>
      <c r="C22" s="42" t="n">
        <f aca="false">SUM(C13,C16:C21)</f>
        <v>25</v>
      </c>
      <c r="E22" s="43" t="n">
        <f aca="false">SUM(E13,E16:E21)</f>
        <v>47000</v>
      </c>
      <c r="F22" s="20" t="n">
        <f aca="false">SUM(F13,F16:F21)</f>
        <v>23000000</v>
      </c>
    </row>
    <row r="23" customFormat="false" ht="15" hidden="false" customHeight="true" outlineLevel="0" collapsed="false">
      <c r="A23" s="44" t="s">
        <v>119</v>
      </c>
      <c r="B23" s="44"/>
      <c r="C23" s="44"/>
      <c r="D23" s="44"/>
      <c r="E23" s="44"/>
      <c r="F23" s="44"/>
      <c r="G23" s="44"/>
      <c r="H23" s="44"/>
    </row>
  </sheetData>
  <mergeCells count="5">
    <mergeCell ref="A1:H1"/>
    <mergeCell ref="A2:H2"/>
    <mergeCell ref="A5:H5"/>
    <mergeCell ref="A15:H15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6"/>
  </cols>
  <sheetData>
    <row r="1" customFormat="false" ht="21.75" hidden="false" customHeight="true" outlineLevel="0" collapsed="false">
      <c r="A1" s="33" t="s">
        <v>120</v>
      </c>
      <c r="B1" s="33"/>
      <c r="C1" s="33"/>
      <c r="D1" s="33"/>
      <c r="E1" s="33"/>
      <c r="F1" s="33"/>
      <c r="G1" s="33"/>
      <c r="H1" s="33"/>
    </row>
    <row r="3" customFormat="false" ht="27.75" hidden="false" customHeight="true" outlineLevel="0" collapsed="false">
      <c r="A3" s="24" t="s">
        <v>121</v>
      </c>
      <c r="B3" s="24" t="s">
        <v>81</v>
      </c>
      <c r="C3" s="24" t="s">
        <v>17</v>
      </c>
      <c r="D3" s="24" t="s">
        <v>122</v>
      </c>
      <c r="E3" s="24" t="s">
        <v>123</v>
      </c>
      <c r="F3" s="24" t="s">
        <v>124</v>
      </c>
      <c r="G3" s="24" t="s">
        <v>125</v>
      </c>
      <c r="H3" s="24" t="s">
        <v>126</v>
      </c>
    </row>
    <row r="4" customFormat="false" ht="15" hidden="false" customHeight="true" outlineLevel="0" collapsed="false">
      <c r="A4" s="12" t="s">
        <v>127</v>
      </c>
      <c r="B4" s="12" t="s">
        <v>89</v>
      </c>
      <c r="C4" s="12" t="s">
        <v>21</v>
      </c>
      <c r="D4" s="45" t="n">
        <v>2</v>
      </c>
      <c r="E4" s="22" t="n">
        <v>200000</v>
      </c>
      <c r="F4" s="25" t="n">
        <f aca="false">D4*E4</f>
        <v>400000</v>
      </c>
      <c r="G4" s="12" t="s">
        <v>128</v>
      </c>
      <c r="H4" s="12" t="s">
        <v>129</v>
      </c>
    </row>
    <row r="5" customFormat="false" ht="15" hidden="false" customHeight="true" outlineLevel="0" collapsed="false">
      <c r="A5" s="6" t="s">
        <v>130</v>
      </c>
      <c r="B5" s="6" t="s">
        <v>114</v>
      </c>
      <c r="C5" s="6" t="s">
        <v>131</v>
      </c>
      <c r="D5" s="46" t="n">
        <v>1</v>
      </c>
      <c r="E5" s="11" t="n">
        <v>300000</v>
      </c>
      <c r="F5" s="30" t="n">
        <f aca="false">D5*E5</f>
        <v>300000</v>
      </c>
      <c r="G5" s="6" t="s">
        <v>128</v>
      </c>
      <c r="H5" s="6" t="s">
        <v>132</v>
      </c>
    </row>
    <row r="6" customFormat="false" ht="15" hidden="false" customHeight="true" outlineLevel="0" collapsed="false">
      <c r="A6" s="12" t="s">
        <v>133</v>
      </c>
      <c r="B6" s="12" t="s">
        <v>111</v>
      </c>
      <c r="C6" s="12" t="s">
        <v>21</v>
      </c>
      <c r="D6" s="45" t="n">
        <v>1</v>
      </c>
      <c r="E6" s="22" t="n">
        <v>250000</v>
      </c>
      <c r="F6" s="25" t="n">
        <f aca="false">D6*E6</f>
        <v>250000</v>
      </c>
      <c r="G6" s="12" t="s">
        <v>128</v>
      </c>
      <c r="H6" s="12" t="s">
        <v>134</v>
      </c>
    </row>
    <row r="7" customFormat="false" ht="15" hidden="false" customHeight="true" outlineLevel="0" collapsed="false">
      <c r="A7" s="6" t="s">
        <v>135</v>
      </c>
      <c r="B7" s="6" t="s">
        <v>109</v>
      </c>
      <c r="C7" s="6" t="s">
        <v>21</v>
      </c>
      <c r="D7" s="46" t="n">
        <v>1</v>
      </c>
      <c r="E7" s="11" t="n">
        <v>200000</v>
      </c>
      <c r="F7" s="30" t="n">
        <f aca="false">D7*E7</f>
        <v>200000</v>
      </c>
      <c r="G7" s="6" t="s">
        <v>128</v>
      </c>
      <c r="H7" s="6" t="s">
        <v>136</v>
      </c>
    </row>
    <row r="8" customFormat="false" ht="15" hidden="false" customHeight="true" outlineLevel="0" collapsed="false">
      <c r="A8" s="12" t="s">
        <v>137</v>
      </c>
      <c r="B8" s="12" t="s">
        <v>111</v>
      </c>
      <c r="C8" s="12" t="s">
        <v>23</v>
      </c>
      <c r="D8" s="45" t="n">
        <v>1</v>
      </c>
      <c r="E8" s="22" t="n">
        <v>150000</v>
      </c>
      <c r="F8" s="25" t="n">
        <f aca="false">D8*E8</f>
        <v>150000</v>
      </c>
      <c r="G8" s="12" t="s">
        <v>128</v>
      </c>
      <c r="H8" s="12" t="s">
        <v>138</v>
      </c>
    </row>
    <row r="9" customFormat="false" ht="15" hidden="false" customHeight="true" outlineLevel="0" collapsed="false">
      <c r="A9" s="6" t="s">
        <v>139</v>
      </c>
      <c r="B9" s="6" t="s">
        <v>116</v>
      </c>
      <c r="C9" s="6" t="s">
        <v>131</v>
      </c>
      <c r="D9" s="46" t="n">
        <v>1</v>
      </c>
      <c r="E9" s="11" t="n">
        <v>400000</v>
      </c>
      <c r="F9" s="30" t="n">
        <f aca="false">D9*E9</f>
        <v>400000</v>
      </c>
      <c r="G9" s="6" t="s">
        <v>128</v>
      </c>
      <c r="H9" s="6" t="s">
        <v>140</v>
      </c>
    </row>
    <row r="10" customFormat="false" ht="15" hidden="false" customHeight="true" outlineLevel="0" collapsed="false">
      <c r="A10" s="12" t="s">
        <v>141</v>
      </c>
      <c r="B10" s="12" t="s">
        <v>105</v>
      </c>
      <c r="C10" s="12" t="s">
        <v>21</v>
      </c>
      <c r="D10" s="45" t="n">
        <v>4</v>
      </c>
      <c r="E10" s="22" t="n">
        <v>20000</v>
      </c>
      <c r="F10" s="25" t="n">
        <f aca="false">D10*E10</f>
        <v>80000</v>
      </c>
      <c r="G10" s="12" t="s">
        <v>128</v>
      </c>
      <c r="H10" s="12" t="s">
        <v>142</v>
      </c>
    </row>
    <row r="11" customFormat="false" ht="15" hidden="false" customHeight="true" outlineLevel="0" collapsed="false">
      <c r="A11" s="6" t="s">
        <v>143</v>
      </c>
      <c r="B11" s="6" t="s">
        <v>114</v>
      </c>
      <c r="C11" s="6" t="s">
        <v>23</v>
      </c>
      <c r="D11" s="46" t="n">
        <v>1</v>
      </c>
      <c r="E11" s="11" t="n">
        <v>180000</v>
      </c>
      <c r="F11" s="30" t="n">
        <f aca="false">D11*E11</f>
        <v>180000</v>
      </c>
      <c r="G11" s="6" t="s">
        <v>128</v>
      </c>
      <c r="H11" s="6" t="s">
        <v>144</v>
      </c>
    </row>
    <row r="12" customFormat="false" ht="15" hidden="false" customHeight="true" outlineLevel="0" collapsed="false">
      <c r="A12" s="12" t="s">
        <v>145</v>
      </c>
      <c r="B12" s="12" t="s">
        <v>89</v>
      </c>
      <c r="C12" s="12" t="s">
        <v>131</v>
      </c>
      <c r="D12" s="45" t="n">
        <v>1</v>
      </c>
      <c r="E12" s="22" t="n">
        <v>100000</v>
      </c>
      <c r="F12" s="25" t="n">
        <f aca="false">D12*E12</f>
        <v>100000</v>
      </c>
      <c r="G12" s="12" t="s">
        <v>128</v>
      </c>
      <c r="H12" s="12" t="s">
        <v>146</v>
      </c>
    </row>
    <row r="13" customFormat="false" ht="15" hidden="false" customHeight="true" outlineLevel="0" collapsed="false">
      <c r="A13" s="6" t="s">
        <v>147</v>
      </c>
      <c r="B13" s="6" t="s">
        <v>89</v>
      </c>
      <c r="C13" s="6" t="s">
        <v>131</v>
      </c>
      <c r="D13" s="46" t="n">
        <v>1</v>
      </c>
      <c r="E13" s="11" t="n">
        <v>50000</v>
      </c>
      <c r="F13" s="30" t="n">
        <f aca="false">D13*E13</f>
        <v>50000</v>
      </c>
      <c r="G13" s="6" t="s">
        <v>128</v>
      </c>
      <c r="H13" s="6" t="s">
        <v>148</v>
      </c>
    </row>
    <row r="14" customFormat="false" ht="15" hidden="false" customHeight="true" outlineLevel="0" collapsed="false">
      <c r="A14" s="12" t="s">
        <v>149</v>
      </c>
      <c r="B14" s="12" t="s">
        <v>150</v>
      </c>
      <c r="C14" s="12" t="s">
        <v>131</v>
      </c>
      <c r="D14" s="45" t="n">
        <v>1</v>
      </c>
      <c r="E14" s="22" t="n">
        <v>150000</v>
      </c>
      <c r="F14" s="25" t="n">
        <f aca="false">D14*E14</f>
        <v>150000</v>
      </c>
      <c r="G14" s="12" t="s">
        <v>128</v>
      </c>
      <c r="H14" s="12" t="s">
        <v>151</v>
      </c>
    </row>
    <row r="15" customFormat="false" ht="15.75" hidden="false" customHeight="true" outlineLevel="0" collapsed="false">
      <c r="A15" s="47" t="s">
        <v>152</v>
      </c>
      <c r="B15" s="47"/>
      <c r="C15" s="47"/>
      <c r="D15" s="47"/>
      <c r="E15" s="47"/>
      <c r="F15" s="31" t="n">
        <f aca="false">SUM(F4:F14)</f>
        <v>2260000</v>
      </c>
    </row>
    <row r="16" customFormat="false" ht="15" hidden="false" customHeight="true" outlineLevel="0" collapsed="false">
      <c r="A16" s="44" t="s">
        <v>153</v>
      </c>
      <c r="B16" s="44"/>
      <c r="C16" s="44"/>
      <c r="D16" s="44"/>
      <c r="E16" s="44"/>
      <c r="F16" s="44"/>
      <c r="G16" s="44"/>
      <c r="H16" s="44"/>
    </row>
  </sheetData>
  <mergeCells count="3">
    <mergeCell ref="A1:H1"/>
    <mergeCell ref="A15:E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7" min="6" style="1" width="14"/>
    <col collapsed="false" customWidth="true" hidden="false" outlineLevel="0" max="8" min="8" style="1" width="32"/>
  </cols>
  <sheetData>
    <row r="1" customFormat="false" ht="21.75" hidden="false" customHeight="true" outlineLevel="0" collapsed="false">
      <c r="A1" s="33" t="s">
        <v>154</v>
      </c>
      <c r="B1" s="33"/>
      <c r="C1" s="33"/>
      <c r="D1" s="33"/>
      <c r="E1" s="33"/>
      <c r="F1" s="33"/>
      <c r="G1" s="33"/>
      <c r="H1" s="33"/>
    </row>
    <row r="3" customFormat="false" ht="27.75" hidden="false" customHeight="true" outlineLevel="0" collapsed="false">
      <c r="A3" s="24" t="s">
        <v>155</v>
      </c>
      <c r="B3" s="24" t="s">
        <v>156</v>
      </c>
      <c r="C3" s="24" t="s">
        <v>17</v>
      </c>
      <c r="D3" s="24" t="s">
        <v>157</v>
      </c>
      <c r="E3" s="24" t="s">
        <v>158</v>
      </c>
      <c r="F3" s="24" t="s">
        <v>159</v>
      </c>
      <c r="G3" s="24" t="s">
        <v>160</v>
      </c>
      <c r="H3" s="24" t="s">
        <v>126</v>
      </c>
    </row>
    <row r="4" customFormat="false" ht="15" hidden="false" customHeight="true" outlineLevel="0" collapsed="false">
      <c r="A4" s="12" t="s">
        <v>161</v>
      </c>
      <c r="B4" s="12" t="s">
        <v>162</v>
      </c>
      <c r="C4" s="12" t="s">
        <v>21</v>
      </c>
      <c r="D4" s="12" t="s">
        <v>163</v>
      </c>
      <c r="E4" s="45" t="n">
        <v>8</v>
      </c>
      <c r="F4" s="22" t="n">
        <v>5000</v>
      </c>
      <c r="G4" s="25" t="n">
        <f aca="false">E4*F4</f>
        <v>40000</v>
      </c>
      <c r="H4" s="12" t="s">
        <v>164</v>
      </c>
    </row>
    <row r="5" customFormat="false" ht="15" hidden="false" customHeight="true" outlineLevel="0" collapsed="false">
      <c r="A5" s="6" t="s">
        <v>165</v>
      </c>
      <c r="B5" s="6" t="s">
        <v>166</v>
      </c>
      <c r="C5" s="6" t="s">
        <v>21</v>
      </c>
      <c r="D5" s="6" t="s">
        <v>167</v>
      </c>
      <c r="E5" s="46" t="n">
        <v>4</v>
      </c>
      <c r="F5" s="11" t="n">
        <v>3000</v>
      </c>
      <c r="G5" s="30" t="n">
        <f aca="false">E5*F5</f>
        <v>12000</v>
      </c>
      <c r="H5" s="6" t="s">
        <v>168</v>
      </c>
    </row>
    <row r="6" customFormat="false" ht="15" hidden="false" customHeight="true" outlineLevel="0" collapsed="false">
      <c r="A6" s="12" t="s">
        <v>169</v>
      </c>
      <c r="B6" s="12" t="s">
        <v>170</v>
      </c>
      <c r="C6" s="12" t="s">
        <v>21</v>
      </c>
      <c r="D6" s="12" t="s">
        <v>171</v>
      </c>
      <c r="E6" s="45" t="n">
        <v>3</v>
      </c>
      <c r="F6" s="22" t="n">
        <v>4000</v>
      </c>
      <c r="G6" s="25" t="n">
        <f aca="false">E6*F6</f>
        <v>12000</v>
      </c>
      <c r="H6" s="12" t="s">
        <v>172</v>
      </c>
    </row>
    <row r="7" customFormat="false" ht="15" hidden="false" customHeight="true" outlineLevel="0" collapsed="false">
      <c r="A7" s="6" t="s">
        <v>173</v>
      </c>
      <c r="B7" s="6" t="s">
        <v>162</v>
      </c>
      <c r="C7" s="6" t="s">
        <v>21</v>
      </c>
      <c r="D7" s="6" t="s">
        <v>174</v>
      </c>
      <c r="E7" s="46" t="n">
        <v>5</v>
      </c>
      <c r="F7" s="11" t="n">
        <v>4500</v>
      </c>
      <c r="G7" s="30" t="n">
        <f aca="false">E7*F7</f>
        <v>22500</v>
      </c>
      <c r="H7" s="6" t="s">
        <v>175</v>
      </c>
    </row>
    <row r="8" customFormat="false" ht="15" hidden="false" customHeight="true" outlineLevel="0" collapsed="false">
      <c r="A8" s="12" t="s">
        <v>176</v>
      </c>
      <c r="B8" s="12" t="s">
        <v>162</v>
      </c>
      <c r="C8" s="12" t="s">
        <v>23</v>
      </c>
      <c r="D8" s="12" t="s">
        <v>177</v>
      </c>
      <c r="E8" s="45" t="n">
        <v>8</v>
      </c>
      <c r="F8" s="22" t="n">
        <v>5000</v>
      </c>
      <c r="G8" s="25" t="n">
        <f aca="false">E8*F8</f>
        <v>40000</v>
      </c>
      <c r="H8" s="12" t="s">
        <v>178</v>
      </c>
    </row>
    <row r="9" customFormat="false" ht="15" hidden="false" customHeight="true" outlineLevel="0" collapsed="false">
      <c r="A9" s="6" t="s">
        <v>179</v>
      </c>
      <c r="B9" s="6" t="s">
        <v>180</v>
      </c>
      <c r="C9" s="6" t="s">
        <v>23</v>
      </c>
      <c r="D9" s="6" t="s">
        <v>177</v>
      </c>
      <c r="E9" s="46" t="n">
        <v>4</v>
      </c>
      <c r="F9" s="11" t="n">
        <v>3000</v>
      </c>
      <c r="G9" s="30" t="n">
        <f aca="false">E9*F9</f>
        <v>12000</v>
      </c>
      <c r="H9" s="6" t="s">
        <v>181</v>
      </c>
    </row>
    <row r="10" customFormat="false" ht="15" hidden="false" customHeight="true" outlineLevel="0" collapsed="false">
      <c r="A10" s="12" t="s">
        <v>182</v>
      </c>
      <c r="B10" s="12" t="s">
        <v>162</v>
      </c>
      <c r="C10" s="12" t="s">
        <v>23</v>
      </c>
      <c r="D10" s="12" t="s">
        <v>174</v>
      </c>
      <c r="E10" s="45" t="n">
        <v>5</v>
      </c>
      <c r="F10" s="22" t="n">
        <v>4500</v>
      </c>
      <c r="G10" s="25" t="n">
        <f aca="false">E10*F10</f>
        <v>22500</v>
      </c>
      <c r="H10" s="12" t="s">
        <v>183</v>
      </c>
    </row>
    <row r="11" customFormat="false" ht="15" hidden="false" customHeight="true" outlineLevel="0" collapsed="false">
      <c r="A11" s="6" t="s">
        <v>184</v>
      </c>
      <c r="B11" s="6" t="s">
        <v>162</v>
      </c>
      <c r="C11" s="6" t="s">
        <v>24</v>
      </c>
      <c r="D11" s="6" t="s">
        <v>177</v>
      </c>
      <c r="E11" s="46" t="n">
        <v>10</v>
      </c>
      <c r="F11" s="11" t="n">
        <v>5000</v>
      </c>
      <c r="G11" s="30" t="n">
        <f aca="false">E11*F11</f>
        <v>50000</v>
      </c>
      <c r="H11" s="6" t="s">
        <v>185</v>
      </c>
    </row>
    <row r="12" customFormat="false" ht="15" hidden="false" customHeight="true" outlineLevel="0" collapsed="false">
      <c r="A12" s="12" t="s">
        <v>186</v>
      </c>
      <c r="B12" s="12" t="s">
        <v>187</v>
      </c>
      <c r="C12" s="12" t="s">
        <v>24</v>
      </c>
      <c r="D12" s="12" t="s">
        <v>177</v>
      </c>
      <c r="E12" s="45" t="n">
        <v>4</v>
      </c>
      <c r="F12" s="22" t="n">
        <v>4000</v>
      </c>
      <c r="G12" s="25" t="n">
        <f aca="false">E12*F12</f>
        <v>16000</v>
      </c>
      <c r="H12" s="12" t="s">
        <v>188</v>
      </c>
    </row>
    <row r="13" customFormat="false" ht="15" hidden="false" customHeight="true" outlineLevel="0" collapsed="false">
      <c r="A13" s="6" t="s">
        <v>189</v>
      </c>
      <c r="B13" s="6" t="s">
        <v>162</v>
      </c>
      <c r="C13" s="6" t="s">
        <v>24</v>
      </c>
      <c r="D13" s="6" t="s">
        <v>174</v>
      </c>
      <c r="E13" s="46" t="n">
        <v>5</v>
      </c>
      <c r="F13" s="11" t="n">
        <v>4500</v>
      </c>
      <c r="G13" s="30" t="n">
        <f aca="false">E13*F13</f>
        <v>22500</v>
      </c>
      <c r="H13" s="6" t="s">
        <v>190</v>
      </c>
    </row>
    <row r="14" customFormat="false" ht="15" hidden="false" customHeight="true" outlineLevel="0" collapsed="false">
      <c r="A14" s="12" t="s">
        <v>191</v>
      </c>
      <c r="B14" s="12" t="s">
        <v>150</v>
      </c>
      <c r="C14" s="12" t="s">
        <v>131</v>
      </c>
      <c r="D14" s="12" t="s">
        <v>128</v>
      </c>
      <c r="E14" s="45" t="n">
        <v>1</v>
      </c>
      <c r="F14" s="22" t="n">
        <v>50000</v>
      </c>
      <c r="G14" s="25" t="n">
        <f aca="false">E14*F14</f>
        <v>50000</v>
      </c>
      <c r="H14" s="12" t="s">
        <v>192</v>
      </c>
    </row>
    <row r="15" customFormat="false" ht="15.75" hidden="false" customHeight="true" outlineLevel="0" collapsed="false">
      <c r="A15" s="47" t="s">
        <v>193</v>
      </c>
      <c r="B15" s="47"/>
      <c r="C15" s="47"/>
      <c r="D15" s="47"/>
      <c r="E15" s="47"/>
      <c r="F15" s="47"/>
      <c r="G15" s="31" t="n">
        <f aca="false">SUM(G4:G14)</f>
        <v>299500</v>
      </c>
    </row>
    <row r="16" customFormat="false" ht="15" hidden="false" customHeight="true" outlineLevel="0" collapsed="false">
      <c r="A16" s="44" t="s">
        <v>194</v>
      </c>
      <c r="B16" s="44"/>
      <c r="C16" s="44"/>
      <c r="D16" s="44"/>
      <c r="E16" s="44"/>
      <c r="F16" s="44"/>
      <c r="G16" s="44"/>
      <c r="H16" s="44"/>
    </row>
  </sheetData>
  <mergeCells count="3">
    <mergeCell ref="A1:H1"/>
    <mergeCell ref="A15:F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36"/>
  </cols>
  <sheetData>
    <row r="1" customFormat="false" ht="21.75" hidden="false" customHeight="true" outlineLevel="0" collapsed="false">
      <c r="A1" s="33" t="s">
        <v>195</v>
      </c>
      <c r="B1" s="33"/>
      <c r="C1" s="33"/>
      <c r="D1" s="33"/>
      <c r="E1" s="33"/>
      <c r="F1" s="33"/>
    </row>
    <row r="3" customFormat="false" ht="27.75" hidden="false" customHeight="true" outlineLevel="0" collapsed="false">
      <c r="A3" s="24" t="s">
        <v>196</v>
      </c>
      <c r="B3" s="24" t="s">
        <v>81</v>
      </c>
      <c r="C3" s="24" t="s">
        <v>17</v>
      </c>
      <c r="D3" s="24" t="s">
        <v>4</v>
      </c>
      <c r="E3" s="24" t="s">
        <v>197</v>
      </c>
      <c r="F3" s="24" t="s">
        <v>126</v>
      </c>
    </row>
    <row r="4" customFormat="false" ht="15" hidden="false" customHeight="true" outlineLevel="0" collapsed="false">
      <c r="A4" s="12" t="s">
        <v>198</v>
      </c>
      <c r="B4" s="12" t="s">
        <v>89</v>
      </c>
      <c r="C4" s="12" t="s">
        <v>131</v>
      </c>
      <c r="D4" s="22" t="n">
        <v>1250000</v>
      </c>
      <c r="E4" s="22" t="n">
        <v>250000</v>
      </c>
      <c r="F4" s="12" t="s">
        <v>199</v>
      </c>
    </row>
    <row r="5" customFormat="false" ht="15" hidden="false" customHeight="true" outlineLevel="0" collapsed="false">
      <c r="A5" s="6" t="s">
        <v>200</v>
      </c>
      <c r="B5" s="6" t="s">
        <v>89</v>
      </c>
      <c r="C5" s="6" t="s">
        <v>131</v>
      </c>
      <c r="D5" s="11" t="n">
        <v>1000000</v>
      </c>
      <c r="E5" s="11" t="n">
        <v>200000</v>
      </c>
      <c r="F5" s="6" t="s">
        <v>201</v>
      </c>
    </row>
    <row r="6" customFormat="false" ht="15" hidden="false" customHeight="true" outlineLevel="0" collapsed="false">
      <c r="A6" s="12" t="s">
        <v>202</v>
      </c>
      <c r="B6" s="12" t="s">
        <v>203</v>
      </c>
      <c r="C6" s="12" t="s">
        <v>131</v>
      </c>
      <c r="D6" s="22" t="n">
        <v>1200000</v>
      </c>
      <c r="E6" s="22" t="n">
        <v>240000</v>
      </c>
      <c r="F6" s="12" t="s">
        <v>204</v>
      </c>
    </row>
    <row r="7" customFormat="false" ht="15" hidden="false" customHeight="true" outlineLevel="0" collapsed="false">
      <c r="A7" s="6" t="s">
        <v>205</v>
      </c>
      <c r="B7" s="6" t="s">
        <v>89</v>
      </c>
      <c r="C7" s="6" t="s">
        <v>131</v>
      </c>
      <c r="D7" s="11" t="n">
        <v>500000</v>
      </c>
      <c r="E7" s="11" t="n">
        <v>100000</v>
      </c>
      <c r="F7" s="6" t="s">
        <v>206</v>
      </c>
    </row>
    <row r="8" customFormat="false" ht="15" hidden="false" customHeight="true" outlineLevel="0" collapsed="false">
      <c r="A8" s="12" t="s">
        <v>207</v>
      </c>
      <c r="B8" s="12" t="s">
        <v>89</v>
      </c>
      <c r="C8" s="12" t="s">
        <v>131</v>
      </c>
      <c r="D8" s="22" t="n">
        <v>400000</v>
      </c>
      <c r="E8" s="22" t="n">
        <v>80000</v>
      </c>
      <c r="F8" s="12" t="s">
        <v>208</v>
      </c>
    </row>
    <row r="9" customFormat="false" ht="15" hidden="false" customHeight="true" outlineLevel="0" collapsed="false">
      <c r="A9" s="6" t="s">
        <v>209</v>
      </c>
      <c r="B9" s="6" t="s">
        <v>210</v>
      </c>
      <c r="C9" s="6" t="s">
        <v>131</v>
      </c>
      <c r="D9" s="11" t="n">
        <v>500000</v>
      </c>
      <c r="E9" s="11" t="n">
        <v>100000</v>
      </c>
      <c r="F9" s="6" t="s">
        <v>211</v>
      </c>
    </row>
    <row r="10" customFormat="false" ht="15" hidden="false" customHeight="true" outlineLevel="0" collapsed="false">
      <c r="A10" s="12" t="s">
        <v>212</v>
      </c>
      <c r="B10" s="12" t="s">
        <v>105</v>
      </c>
      <c r="C10" s="12" t="s">
        <v>131</v>
      </c>
      <c r="D10" s="22" t="n">
        <v>500000</v>
      </c>
      <c r="E10" s="22" t="n">
        <v>100000</v>
      </c>
      <c r="F10" s="12" t="s">
        <v>213</v>
      </c>
    </row>
    <row r="11" customFormat="false" ht="15" hidden="false" customHeight="true" outlineLevel="0" collapsed="false">
      <c r="A11" s="6" t="s">
        <v>214</v>
      </c>
      <c r="B11" s="6" t="s">
        <v>150</v>
      </c>
      <c r="C11" s="6" t="s">
        <v>131</v>
      </c>
      <c r="D11" s="11" t="n">
        <v>350000</v>
      </c>
      <c r="E11" s="11" t="n">
        <v>70000</v>
      </c>
      <c r="F11" s="6" t="s">
        <v>215</v>
      </c>
    </row>
    <row r="12" customFormat="false" ht="15" hidden="false" customHeight="true" outlineLevel="0" collapsed="false">
      <c r="A12" s="12" t="s">
        <v>216</v>
      </c>
      <c r="B12" s="12" t="s">
        <v>89</v>
      </c>
      <c r="C12" s="12" t="s">
        <v>24</v>
      </c>
      <c r="D12" s="22" t="n">
        <v>150000</v>
      </c>
      <c r="E12" s="22" t="n">
        <v>60000</v>
      </c>
      <c r="F12" s="12" t="s">
        <v>217</v>
      </c>
    </row>
    <row r="13" customFormat="false" ht="15" hidden="false" customHeight="true" outlineLevel="0" collapsed="false">
      <c r="A13" s="6" t="s">
        <v>218</v>
      </c>
      <c r="B13" s="6" t="s">
        <v>150</v>
      </c>
      <c r="C13" s="6" t="s">
        <v>131</v>
      </c>
      <c r="D13" s="11" t="n">
        <v>150000</v>
      </c>
      <c r="E13" s="11" t="n">
        <v>30000</v>
      </c>
      <c r="F13" s="6" t="s">
        <v>219</v>
      </c>
    </row>
    <row r="14" customFormat="false" ht="15.75" hidden="false" customHeight="true" outlineLevel="0" collapsed="false">
      <c r="A14" s="47" t="s">
        <v>220</v>
      </c>
      <c r="B14" s="47"/>
      <c r="C14" s="47"/>
      <c r="D14" s="31" t="n">
        <f aca="false">SUM(D4:D13)</f>
        <v>6000000</v>
      </c>
    </row>
    <row r="15" customFormat="false" ht="15" hidden="false" customHeight="true" outlineLevel="0" collapsed="false">
      <c r="A15" s="44" t="s">
        <v>221</v>
      </c>
      <c r="B15" s="44"/>
      <c r="C15" s="44"/>
      <c r="D15" s="44"/>
      <c r="E15" s="44"/>
      <c r="F15" s="44"/>
    </row>
  </sheetData>
  <mergeCells count="3">
    <mergeCell ref="A1:F1"/>
    <mergeCell ref="A14:C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36"/>
  </cols>
  <sheetData>
    <row r="1" customFormat="false" ht="21.75" hidden="false" customHeight="true" outlineLevel="0" collapsed="false">
      <c r="A1" s="33" t="s">
        <v>222</v>
      </c>
      <c r="B1" s="33"/>
      <c r="C1" s="33"/>
      <c r="D1" s="33"/>
      <c r="E1" s="33"/>
      <c r="F1" s="33"/>
      <c r="G1" s="33"/>
    </row>
    <row r="3" customFormat="false" ht="27.75" hidden="false" customHeight="true" outlineLevel="0" collapsed="false">
      <c r="A3" s="24" t="s">
        <v>223</v>
      </c>
      <c r="B3" s="24" t="s">
        <v>81</v>
      </c>
      <c r="C3" s="24" t="s">
        <v>17</v>
      </c>
      <c r="D3" s="24" t="s">
        <v>224</v>
      </c>
      <c r="E3" s="24" t="s">
        <v>225</v>
      </c>
      <c r="F3" s="24" t="s">
        <v>160</v>
      </c>
      <c r="G3" s="24" t="s">
        <v>126</v>
      </c>
    </row>
    <row r="4" customFormat="false" ht="15" hidden="false" customHeight="true" outlineLevel="0" collapsed="false">
      <c r="A4" s="12" t="s">
        <v>226</v>
      </c>
      <c r="B4" s="12" t="s">
        <v>114</v>
      </c>
      <c r="C4" s="12" t="s">
        <v>131</v>
      </c>
      <c r="D4" s="48" t="n">
        <v>80</v>
      </c>
      <c r="E4" s="22" t="n">
        <v>9000</v>
      </c>
      <c r="F4" s="25" t="n">
        <f aca="false">D4*E4</f>
        <v>720000</v>
      </c>
      <c r="G4" s="12" t="s">
        <v>227</v>
      </c>
    </row>
    <row r="5" customFormat="false" ht="15" hidden="false" customHeight="true" outlineLevel="0" collapsed="false">
      <c r="A5" s="6" t="s">
        <v>228</v>
      </c>
      <c r="B5" s="6" t="s">
        <v>114</v>
      </c>
      <c r="C5" s="6" t="s">
        <v>21</v>
      </c>
      <c r="D5" s="49" t="n">
        <v>4</v>
      </c>
      <c r="E5" s="11" t="n">
        <v>30000</v>
      </c>
      <c r="F5" s="30" t="n">
        <f aca="false">D5*E5</f>
        <v>120000</v>
      </c>
      <c r="G5" s="6" t="s">
        <v>229</v>
      </c>
    </row>
    <row r="6" customFormat="false" ht="15" hidden="false" customHeight="true" outlineLevel="0" collapsed="false">
      <c r="A6" s="12" t="s">
        <v>230</v>
      </c>
      <c r="B6" s="12" t="s">
        <v>114</v>
      </c>
      <c r="C6" s="12" t="s">
        <v>131</v>
      </c>
      <c r="D6" s="48" t="n">
        <v>20</v>
      </c>
      <c r="E6" s="22" t="n">
        <v>15000</v>
      </c>
      <c r="F6" s="25" t="n">
        <f aca="false">D6*E6</f>
        <v>300000</v>
      </c>
      <c r="G6" s="12" t="s">
        <v>231</v>
      </c>
    </row>
    <row r="7" customFormat="false" ht="15" hidden="false" customHeight="true" outlineLevel="0" collapsed="false">
      <c r="A7" s="6" t="s">
        <v>232</v>
      </c>
      <c r="B7" s="6" t="s">
        <v>114</v>
      </c>
      <c r="C7" s="6" t="s">
        <v>131</v>
      </c>
      <c r="D7" s="49" t="n">
        <v>40</v>
      </c>
      <c r="E7" s="11" t="n">
        <v>15000</v>
      </c>
      <c r="F7" s="30" t="n">
        <f aca="false">D7*E7</f>
        <v>600000</v>
      </c>
      <c r="G7" s="6" t="s">
        <v>233</v>
      </c>
    </row>
    <row r="8" customFormat="false" ht="15" hidden="false" customHeight="true" outlineLevel="0" collapsed="false">
      <c r="A8" s="12" t="s">
        <v>234</v>
      </c>
      <c r="B8" s="12" t="s">
        <v>114</v>
      </c>
      <c r="C8" s="12" t="s">
        <v>23</v>
      </c>
      <c r="D8" s="48" t="n">
        <v>4</v>
      </c>
      <c r="E8" s="22" t="n">
        <v>100000</v>
      </c>
      <c r="F8" s="25" t="n">
        <f aca="false">D8*E8</f>
        <v>400000</v>
      </c>
      <c r="G8" s="12" t="s">
        <v>235</v>
      </c>
    </row>
    <row r="9" customFormat="false" ht="15" hidden="false" customHeight="true" outlineLevel="0" collapsed="false">
      <c r="A9" s="6" t="s">
        <v>236</v>
      </c>
      <c r="B9" s="6" t="s">
        <v>111</v>
      </c>
      <c r="C9" s="6" t="s">
        <v>131</v>
      </c>
      <c r="D9" s="49" t="n">
        <v>10</v>
      </c>
      <c r="E9" s="11" t="n">
        <v>75000</v>
      </c>
      <c r="F9" s="30" t="n">
        <f aca="false">D9*E9</f>
        <v>750000</v>
      </c>
      <c r="G9" s="6" t="s">
        <v>237</v>
      </c>
    </row>
    <row r="10" customFormat="false" ht="15" hidden="false" customHeight="true" outlineLevel="0" collapsed="false">
      <c r="A10" s="12" t="s">
        <v>238</v>
      </c>
      <c r="B10" s="12" t="s">
        <v>203</v>
      </c>
      <c r="C10" s="12" t="s">
        <v>131</v>
      </c>
      <c r="D10" s="48" t="n">
        <v>1000</v>
      </c>
      <c r="E10" s="22" t="n">
        <v>400</v>
      </c>
      <c r="F10" s="25" t="n">
        <f aca="false">D10*E10</f>
        <v>400000</v>
      </c>
      <c r="G10" s="12" t="s">
        <v>239</v>
      </c>
    </row>
    <row r="11" customFormat="false" ht="15" hidden="false" customHeight="true" outlineLevel="0" collapsed="false">
      <c r="A11" s="6" t="s">
        <v>240</v>
      </c>
      <c r="B11" s="6" t="s">
        <v>114</v>
      </c>
      <c r="C11" s="6" t="s">
        <v>21</v>
      </c>
      <c r="D11" s="49" t="n">
        <v>10</v>
      </c>
      <c r="E11" s="11" t="n">
        <v>8000</v>
      </c>
      <c r="F11" s="30" t="n">
        <f aca="false">D11*E11</f>
        <v>80000</v>
      </c>
      <c r="G11" s="6" t="s">
        <v>241</v>
      </c>
    </row>
    <row r="12" customFormat="false" ht="15" hidden="false" customHeight="true" outlineLevel="0" collapsed="false">
      <c r="A12" s="12" t="s">
        <v>242</v>
      </c>
      <c r="B12" s="12" t="s">
        <v>114</v>
      </c>
      <c r="C12" s="12" t="s">
        <v>131</v>
      </c>
      <c r="D12" s="48" t="n">
        <v>1</v>
      </c>
      <c r="E12" s="22" t="n">
        <v>100000</v>
      </c>
      <c r="F12" s="25" t="n">
        <f aca="false">D12*E12</f>
        <v>100000</v>
      </c>
      <c r="G12" s="12" t="s">
        <v>243</v>
      </c>
    </row>
    <row r="13" customFormat="false" ht="15" hidden="false" customHeight="true" outlineLevel="0" collapsed="false">
      <c r="A13" s="6" t="s">
        <v>244</v>
      </c>
      <c r="B13" s="6" t="s">
        <v>111</v>
      </c>
      <c r="C13" s="6" t="s">
        <v>131</v>
      </c>
      <c r="D13" s="49" t="n">
        <v>1</v>
      </c>
      <c r="E13" s="11" t="n">
        <v>200000</v>
      </c>
      <c r="F13" s="30" t="n">
        <f aca="false">D13*E13</f>
        <v>200000</v>
      </c>
      <c r="G13" s="6" t="s">
        <v>245</v>
      </c>
    </row>
    <row r="14" customFormat="false" ht="15" hidden="false" customHeight="true" outlineLevel="0" collapsed="false">
      <c r="A14" s="12" t="s">
        <v>246</v>
      </c>
      <c r="B14" s="12" t="s">
        <v>150</v>
      </c>
      <c r="C14" s="12" t="s">
        <v>131</v>
      </c>
      <c r="D14" s="48" t="n">
        <v>1</v>
      </c>
      <c r="E14" s="22" t="n">
        <v>150000</v>
      </c>
      <c r="F14" s="25" t="n">
        <f aca="false">D14*E14</f>
        <v>150000</v>
      </c>
      <c r="G14" s="12" t="s">
        <v>247</v>
      </c>
    </row>
    <row r="15" customFormat="false" ht="15.75" hidden="false" customHeight="true" outlineLevel="0" collapsed="false">
      <c r="A15" s="47" t="s">
        <v>248</v>
      </c>
      <c r="B15" s="47"/>
      <c r="C15" s="47"/>
      <c r="D15" s="47"/>
      <c r="E15" s="47"/>
      <c r="F15" s="31" t="n">
        <f aca="false">SUM(F4:F14)</f>
        <v>3820000</v>
      </c>
    </row>
    <row r="16" customFormat="false" ht="15" hidden="false" customHeight="true" outlineLevel="0" collapsed="false">
      <c r="A16" s="44" t="s">
        <v>249</v>
      </c>
      <c r="B16" s="44"/>
      <c r="C16" s="44"/>
      <c r="D16" s="44"/>
      <c r="E16" s="44"/>
      <c r="F16" s="44"/>
      <c r="G16" s="44"/>
    </row>
  </sheetData>
  <mergeCells count="3">
    <mergeCell ref="A1:G1"/>
    <mergeCell ref="A15:E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36"/>
  </cols>
  <sheetData>
    <row r="1" customFormat="false" ht="21.75" hidden="false" customHeight="true" outlineLevel="0" collapsed="false">
      <c r="A1" s="33" t="s">
        <v>250</v>
      </c>
      <c r="B1" s="33"/>
      <c r="C1" s="33"/>
      <c r="D1" s="33"/>
      <c r="E1" s="33"/>
      <c r="F1" s="33"/>
    </row>
    <row r="3" customFormat="false" ht="15.75" hidden="false" customHeight="true" outlineLevel="0" collapsed="false">
      <c r="A3" s="35" t="s">
        <v>251</v>
      </c>
      <c r="B3" s="35"/>
      <c r="C3" s="35"/>
      <c r="D3" s="35"/>
      <c r="E3" s="35"/>
      <c r="F3" s="35"/>
    </row>
    <row r="4" customFormat="false" ht="27.75" hidden="false" customHeight="true" outlineLevel="0" collapsed="false">
      <c r="A4" s="24" t="s">
        <v>81</v>
      </c>
      <c r="B4" s="24" t="s">
        <v>252</v>
      </c>
      <c r="C4" s="24" t="s">
        <v>253</v>
      </c>
      <c r="D4" s="24" t="s">
        <v>254</v>
      </c>
      <c r="E4" s="24" t="s">
        <v>17</v>
      </c>
      <c r="F4" s="24" t="s">
        <v>255</v>
      </c>
    </row>
    <row r="5" customFormat="false" ht="15" hidden="false" customHeight="true" outlineLevel="0" collapsed="false">
      <c r="A5" s="12" t="s">
        <v>89</v>
      </c>
      <c r="B5" s="50" t="n">
        <v>0.15</v>
      </c>
      <c r="C5" s="22" t="n">
        <v>10000000</v>
      </c>
      <c r="D5" s="25" t="n">
        <f aca="false">B5*C5</f>
        <v>1500000</v>
      </c>
      <c r="E5" s="12" t="s">
        <v>131</v>
      </c>
      <c r="F5" s="12" t="s">
        <v>256</v>
      </c>
    </row>
    <row r="6" customFormat="false" ht="15" hidden="false" customHeight="true" outlineLevel="0" collapsed="false">
      <c r="A6" s="6" t="s">
        <v>257</v>
      </c>
      <c r="B6" s="51" t="n">
        <v>0.57</v>
      </c>
      <c r="C6" s="11" t="n">
        <v>5000000</v>
      </c>
      <c r="D6" s="30" t="n">
        <f aca="false">B6*C6</f>
        <v>2850000</v>
      </c>
      <c r="E6" s="6" t="s">
        <v>131</v>
      </c>
      <c r="F6" s="6" t="s">
        <v>258</v>
      </c>
    </row>
    <row r="7" customFormat="false" ht="15" hidden="false" customHeight="true" outlineLevel="0" collapsed="false">
      <c r="A7" s="12" t="s">
        <v>111</v>
      </c>
      <c r="B7" s="50" t="n">
        <v>0.5</v>
      </c>
      <c r="C7" s="22" t="n">
        <v>2000000</v>
      </c>
      <c r="D7" s="25" t="n">
        <f aca="false">B7*C7</f>
        <v>1000000</v>
      </c>
      <c r="E7" s="12" t="s">
        <v>131</v>
      </c>
      <c r="F7" s="12" t="s">
        <v>259</v>
      </c>
    </row>
    <row r="8" customFormat="false" ht="15" hidden="false" customHeight="true" outlineLevel="0" collapsed="false">
      <c r="A8" s="6" t="s">
        <v>109</v>
      </c>
      <c r="B8" s="51" t="n">
        <v>0</v>
      </c>
      <c r="C8" s="11" t="n">
        <v>2000000</v>
      </c>
      <c r="D8" s="30" t="n">
        <f aca="false">B8*C8</f>
        <v>0</v>
      </c>
      <c r="E8" s="6" t="s">
        <v>131</v>
      </c>
      <c r="F8" s="6" t="s">
        <v>260</v>
      </c>
    </row>
    <row r="9" customFormat="false" ht="15" hidden="false" customHeight="true" outlineLevel="0" collapsed="false">
      <c r="A9" s="12" t="s">
        <v>107</v>
      </c>
      <c r="B9" s="50" t="n">
        <v>0</v>
      </c>
      <c r="C9" s="22" t="n">
        <v>1500000</v>
      </c>
      <c r="D9" s="25" t="n">
        <f aca="false">B9*C9</f>
        <v>0</v>
      </c>
      <c r="E9" s="12" t="s">
        <v>131</v>
      </c>
      <c r="F9" s="12" t="s">
        <v>261</v>
      </c>
    </row>
    <row r="10" customFormat="false" ht="15" hidden="false" customHeight="true" outlineLevel="0" collapsed="false">
      <c r="A10" s="6" t="s">
        <v>114</v>
      </c>
      <c r="B10" s="51" t="n">
        <v>0</v>
      </c>
      <c r="C10" s="11" t="n">
        <v>4000000</v>
      </c>
      <c r="D10" s="30" t="n">
        <f aca="false">B10*C10</f>
        <v>0</v>
      </c>
      <c r="E10" s="6" t="s">
        <v>131</v>
      </c>
      <c r="F10" s="6" t="s">
        <v>261</v>
      </c>
    </row>
    <row r="11" customFormat="false" ht="15" hidden="false" customHeight="true" outlineLevel="0" collapsed="false">
      <c r="A11" s="12" t="s">
        <v>116</v>
      </c>
      <c r="B11" s="50" t="n">
        <v>0</v>
      </c>
      <c r="C11" s="22" t="n">
        <v>2000000</v>
      </c>
      <c r="D11" s="25" t="n">
        <f aca="false">B11*C11</f>
        <v>0</v>
      </c>
      <c r="E11" s="12" t="s">
        <v>131</v>
      </c>
      <c r="F11" s="12" t="s">
        <v>261</v>
      </c>
    </row>
    <row r="12" customFormat="false" ht="15.75" hidden="false" customHeight="true" outlineLevel="0" collapsed="false">
      <c r="A12" s="8" t="s">
        <v>262</v>
      </c>
      <c r="C12" s="20" t="n">
        <f aca="false">SUM(C5:C11)</f>
        <v>26500000</v>
      </c>
      <c r="D12" s="31" t="n">
        <f aca="false">SUM(D5:D11)</f>
        <v>5350000</v>
      </c>
    </row>
    <row r="14" customFormat="false" ht="15.75" hidden="false" customHeight="true" outlineLevel="0" collapsed="false">
      <c r="A14" s="35" t="s">
        <v>263</v>
      </c>
      <c r="B14" s="35"/>
      <c r="C14" s="35"/>
      <c r="D14" s="35"/>
      <c r="E14" s="35"/>
      <c r="F14" s="35"/>
    </row>
    <row r="15" customFormat="false" ht="27.75" hidden="false" customHeight="true" outlineLevel="0" collapsed="false">
      <c r="A15" s="24" t="s">
        <v>81</v>
      </c>
      <c r="B15" s="24" t="s">
        <v>264</v>
      </c>
      <c r="C15" s="24" t="s">
        <v>265</v>
      </c>
      <c r="D15" s="24" t="s">
        <v>266</v>
      </c>
      <c r="E15" s="24" t="s">
        <v>17</v>
      </c>
      <c r="F15" s="24" t="s">
        <v>5</v>
      </c>
    </row>
    <row r="16" customFormat="false" ht="15" hidden="false" customHeight="true" outlineLevel="0" collapsed="false">
      <c r="A16" s="12" t="s">
        <v>89</v>
      </c>
      <c r="B16" s="50" t="n">
        <v>0</v>
      </c>
      <c r="C16" s="22" t="n">
        <v>14000000</v>
      </c>
      <c r="D16" s="25" t="n">
        <f aca="false">B16*C16</f>
        <v>0</v>
      </c>
      <c r="E16" s="12" t="s">
        <v>131</v>
      </c>
      <c r="F16" s="12" t="s">
        <v>267</v>
      </c>
    </row>
    <row r="17" customFormat="false" ht="15" hidden="false" customHeight="true" outlineLevel="0" collapsed="false">
      <c r="A17" s="6" t="s">
        <v>257</v>
      </c>
      <c r="B17" s="51" t="n">
        <v>0</v>
      </c>
      <c r="C17" s="11" t="n">
        <v>7000000</v>
      </c>
      <c r="D17" s="30" t="n">
        <f aca="false">B17*C17</f>
        <v>0</v>
      </c>
      <c r="E17" s="6" t="s">
        <v>131</v>
      </c>
      <c r="F17" s="6" t="s">
        <v>268</v>
      </c>
    </row>
    <row r="18" customFormat="false" ht="15" hidden="false" customHeight="true" outlineLevel="0" collapsed="false">
      <c r="A18" s="12" t="s">
        <v>111</v>
      </c>
      <c r="B18" s="50" t="n">
        <v>0</v>
      </c>
      <c r="C18" s="22" t="n">
        <v>5000000</v>
      </c>
      <c r="D18" s="25" t="n">
        <f aca="false">B18*C18</f>
        <v>0</v>
      </c>
      <c r="E18" s="12" t="s">
        <v>131</v>
      </c>
      <c r="F18" s="12" t="s">
        <v>269</v>
      </c>
    </row>
    <row r="19" customFormat="false" ht="15" hidden="false" customHeight="true" outlineLevel="0" collapsed="false">
      <c r="A19" s="6" t="s">
        <v>109</v>
      </c>
      <c r="B19" s="51" t="n">
        <v>0.08</v>
      </c>
      <c r="C19" s="11" t="n">
        <v>5000000</v>
      </c>
      <c r="D19" s="30" t="n">
        <f aca="false">B19*C19</f>
        <v>400000</v>
      </c>
      <c r="E19" s="6" t="s">
        <v>131</v>
      </c>
      <c r="F19" s="6" t="s">
        <v>270</v>
      </c>
    </row>
    <row r="20" customFormat="false" ht="15" hidden="false" customHeight="true" outlineLevel="0" collapsed="false">
      <c r="A20" s="12" t="s">
        <v>107</v>
      </c>
      <c r="B20" s="50" t="n">
        <v>0.08</v>
      </c>
      <c r="C20" s="22" t="n">
        <v>4000000</v>
      </c>
      <c r="D20" s="25" t="n">
        <f aca="false">B20*C20</f>
        <v>320000</v>
      </c>
      <c r="E20" s="12" t="s">
        <v>131</v>
      </c>
      <c r="F20" s="12" t="s">
        <v>271</v>
      </c>
    </row>
    <row r="21" customFormat="false" ht="15" hidden="false" customHeight="true" outlineLevel="0" collapsed="false">
      <c r="A21" s="6" t="s">
        <v>114</v>
      </c>
      <c r="B21" s="51" t="n">
        <v>0.07</v>
      </c>
      <c r="C21" s="11" t="n">
        <v>8000000</v>
      </c>
      <c r="D21" s="30" t="n">
        <f aca="false">B21*C21</f>
        <v>560000</v>
      </c>
      <c r="E21" s="6" t="s">
        <v>131</v>
      </c>
      <c r="F21" s="6" t="s">
        <v>272</v>
      </c>
    </row>
    <row r="22" customFormat="false" ht="15" hidden="false" customHeight="true" outlineLevel="0" collapsed="false">
      <c r="A22" s="12" t="s">
        <v>116</v>
      </c>
      <c r="B22" s="50" t="n">
        <v>0.07</v>
      </c>
      <c r="C22" s="22" t="n">
        <v>4000000</v>
      </c>
      <c r="D22" s="25" t="n">
        <f aca="false">B22*C22</f>
        <v>280000</v>
      </c>
      <c r="E22" s="12" t="s">
        <v>131</v>
      </c>
      <c r="F22" s="12" t="s">
        <v>273</v>
      </c>
    </row>
    <row r="23" customFormat="false" ht="15.75" hidden="false" customHeight="true" outlineLevel="0" collapsed="false">
      <c r="A23" s="8" t="s">
        <v>274</v>
      </c>
      <c r="C23" s="20" t="n">
        <f aca="false">SUM(C16:C22)</f>
        <v>47000000</v>
      </c>
      <c r="D23" s="31" t="n">
        <f aca="false">SUM(D16:D22)</f>
        <v>1560000</v>
      </c>
    </row>
    <row r="25" customFormat="false" ht="15" hidden="false" customHeight="true" outlineLevel="0" collapsed="false">
      <c r="A25" s="44" t="s">
        <v>275</v>
      </c>
      <c r="B25" s="44"/>
      <c r="C25" s="44"/>
      <c r="D25" s="44"/>
      <c r="E25" s="44"/>
      <c r="F25" s="44"/>
    </row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6"/>
  </cols>
  <sheetData>
    <row r="1" customFormat="false" ht="21.75" hidden="false" customHeight="true" outlineLevel="0" collapsed="false">
      <c r="A1" s="33" t="s">
        <v>276</v>
      </c>
      <c r="B1" s="33"/>
      <c r="C1" s="33"/>
      <c r="D1" s="33"/>
      <c r="E1" s="33"/>
      <c r="F1" s="33"/>
    </row>
    <row r="2" customFormat="false" ht="15" hidden="false" customHeight="true" outlineLevel="0" collapsed="false">
      <c r="A2" s="34" t="s">
        <v>277</v>
      </c>
      <c r="B2" s="34"/>
      <c r="C2" s="34"/>
      <c r="D2" s="34"/>
      <c r="E2" s="34"/>
      <c r="F2" s="34"/>
    </row>
    <row r="4" customFormat="false" ht="27.75" hidden="false" customHeight="true" outlineLevel="0" collapsed="false">
      <c r="A4" s="24" t="s">
        <v>278</v>
      </c>
      <c r="B4" s="24" t="s">
        <v>279</v>
      </c>
      <c r="C4" s="24" t="s">
        <v>280</v>
      </c>
      <c r="D4" s="24" t="s">
        <v>281</v>
      </c>
      <c r="E4" s="24" t="s">
        <v>282</v>
      </c>
      <c r="F4" s="24" t="s">
        <v>126</v>
      </c>
    </row>
    <row r="5" customFormat="false" ht="15" hidden="false" customHeight="true" outlineLevel="0" collapsed="false">
      <c r="A5" s="12" t="s">
        <v>283</v>
      </c>
      <c r="B5" s="12" t="s">
        <v>116</v>
      </c>
      <c r="C5" s="12" t="s">
        <v>284</v>
      </c>
      <c r="D5" s="22" t="n">
        <v>1500000</v>
      </c>
      <c r="E5" s="12" t="s">
        <v>90</v>
      </c>
      <c r="F5" s="12" t="s">
        <v>285</v>
      </c>
    </row>
    <row r="6" customFormat="false" ht="15" hidden="false" customHeight="true" outlineLevel="0" collapsed="false">
      <c r="A6" s="6" t="s">
        <v>286</v>
      </c>
      <c r="B6" s="6" t="s">
        <v>116</v>
      </c>
      <c r="C6" s="6" t="s">
        <v>287</v>
      </c>
      <c r="D6" s="11" t="n">
        <v>1000000</v>
      </c>
      <c r="E6" s="6" t="s">
        <v>90</v>
      </c>
      <c r="F6" s="6" t="s">
        <v>288</v>
      </c>
    </row>
    <row r="7" customFormat="false" ht="15" hidden="false" customHeight="true" outlineLevel="0" collapsed="false">
      <c r="A7" s="12" t="s">
        <v>289</v>
      </c>
      <c r="B7" s="12" t="s">
        <v>114</v>
      </c>
      <c r="C7" s="12" t="s">
        <v>290</v>
      </c>
      <c r="D7" s="22" t="n">
        <v>750000</v>
      </c>
      <c r="E7" s="12" t="s">
        <v>90</v>
      </c>
      <c r="F7" s="12" t="s">
        <v>291</v>
      </c>
    </row>
    <row r="8" customFormat="false" ht="15" hidden="false" customHeight="true" outlineLevel="0" collapsed="false">
      <c r="A8" s="6" t="s">
        <v>292</v>
      </c>
      <c r="B8" s="6" t="s">
        <v>293</v>
      </c>
      <c r="C8" s="6" t="s">
        <v>294</v>
      </c>
      <c r="D8" s="11" t="n">
        <v>500000</v>
      </c>
      <c r="E8" s="6" t="s">
        <v>90</v>
      </c>
      <c r="F8" s="6" t="s">
        <v>295</v>
      </c>
    </row>
    <row r="9" customFormat="false" ht="15" hidden="false" customHeight="true" outlineLevel="0" collapsed="false">
      <c r="A9" s="12" t="s">
        <v>296</v>
      </c>
      <c r="B9" s="12" t="s">
        <v>297</v>
      </c>
      <c r="C9" s="12" t="s">
        <v>298</v>
      </c>
      <c r="D9" s="22" t="n">
        <v>150000</v>
      </c>
      <c r="E9" s="12" t="s">
        <v>90</v>
      </c>
      <c r="F9" s="12" t="s">
        <v>299</v>
      </c>
    </row>
    <row r="10" customFormat="false" ht="15" hidden="false" customHeight="true" outlineLevel="0" collapsed="false">
      <c r="A10" s="6" t="s">
        <v>300</v>
      </c>
      <c r="B10" s="6" t="s">
        <v>128</v>
      </c>
      <c r="C10" s="6" t="s">
        <v>301</v>
      </c>
      <c r="D10" s="11" t="n">
        <v>100000</v>
      </c>
      <c r="E10" s="6" t="s">
        <v>90</v>
      </c>
      <c r="F10" s="6" t="s">
        <v>302</v>
      </c>
    </row>
    <row r="11" customFormat="false" ht="15.75" hidden="false" customHeight="true" outlineLevel="0" collapsed="false">
      <c r="A11" s="47" t="s">
        <v>303</v>
      </c>
      <c r="B11" s="47"/>
      <c r="C11" s="47"/>
      <c r="D11" s="31" t="n">
        <f aca="false">SUM(D5:D10)</f>
        <v>4000000</v>
      </c>
    </row>
    <row r="13" customFormat="false" ht="27.75" hidden="false" customHeight="true" outlineLevel="0" collapsed="false">
      <c r="A13" s="52" t="s">
        <v>304</v>
      </c>
      <c r="B13" s="52"/>
      <c r="C13" s="52"/>
      <c r="D13" s="52"/>
      <c r="E13" s="52"/>
      <c r="F13" s="52"/>
    </row>
  </sheetData>
  <mergeCells count="4">
    <mergeCell ref="A1:F1"/>
    <mergeCell ref="A2:F2"/>
    <mergeCell ref="A11:C1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2026-06-12T07:36:12Z</dcterms:created>
  <dc:creator>openpyxl</dc:creator>
  <dc:description/>
  <dc:language>en-US</dc:language>
  <cp:lastModifiedBy/>
  <dcterms:modified xsi:type="dcterms:W3CDTF">2026-06-12T07:51:45Z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