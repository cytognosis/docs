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92" firstSheet="2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m Structure" sheetId="2" state="visible" r:id="rId2"/>
    <sheet xmlns:r="http://schemas.openxmlformats.org/officeDocument/2006/relationships" name="Milestones and Deliverables" sheetId="3" state="visible" r:id="rId3"/>
    <sheet xmlns:r="http://schemas.openxmlformats.org/officeDocument/2006/relationships" name="Labor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Travel" sheetId="6" state="visible" r:id="rId6"/>
  </sheets>
  <externalReferences>
    <externalReference xmlns:r="http://schemas.openxmlformats.org/officeDocument/2006/relationships" r:id="rId7"/>
  </externalReferences>
  <definedNames>
    <definedName name="AcademiaLaborGroups">#REF!</definedName>
    <definedName name="GeneralLaborGroups">#REF!</definedName>
    <definedName name="IndirectRateCategories">#REF!</definedName>
    <definedName name="LaborCollection">#REF!</definedName>
    <definedName name="NoBusinessTypeSelected">#REF!</definedName>
    <definedName name="Offeror.Bus.Type">#REF!</definedName>
    <definedName name="OfferorBusinessTypes">#REF!</definedName>
    <definedName name="OrgList">TeamTable[Name 
(Company, University, Person, Etc.)]</definedName>
    <definedName name="Period1_Label">#REF!</definedName>
    <definedName name="Period2_Label">#REF!</definedName>
    <definedName name="Period3_Label">#REF!</definedName>
    <definedName name="Period4_Label">#REF!</definedName>
    <definedName name="Period5_Label">#REF!</definedName>
    <definedName name="Period6_Label">#REF!</definedName>
    <definedName name="SBIRSTTRPhaseChoices">#REF!</definedName>
    <definedName name="SmallBusinessSizeChoices">#REF!</definedName>
    <definedName name="AcademiaLaborGroups" localSheetId="2">[1]Constants!$A$21:$A$24</definedName>
    <definedName name="GeneralLaborGroups" localSheetId="2">[1]Constants!$A$27:$A$32</definedName>
    <definedName name="IndirectRateCategories" localSheetId="2">[1]Constants!$A$113:$A$129</definedName>
    <definedName name="LaborCollection" localSheetId="2">[1]Constants!$A$15</definedName>
    <definedName name="NoBusinessTypeSelected" localSheetId="2">[1]Constants!$A$18</definedName>
    <definedName name="Offeror.Bus.Type" localSheetId="2">'[1]Proposer Constants'!$A$4</definedName>
    <definedName name="OfferorBusinessTypes" localSheetId="2">[1]Constants!$A$8:$A$12</definedName>
    <definedName name="Period1_Label" localSheetId="2">'[1]Proposer Constants'!$B$9</definedName>
    <definedName name="Period2_Label" localSheetId="2">'[1]Proposer Constants'!$C$9</definedName>
    <definedName name="Period3_Label" localSheetId="2">'[1]Proposer Constants'!$D$9</definedName>
    <definedName name="Period4_Label" localSheetId="2">'[1]Proposer Constants'!$E$9</definedName>
    <definedName name="Period5_Label" localSheetId="2">'[1]Proposer Constants'!$F$9</definedName>
    <definedName name="Period6_Label" localSheetId="2">'[1]Proposer Constants'!$G$9</definedName>
    <definedName name="SBIRSTTRPhaseChoices" localSheetId="2">[1]Constants!$A$135:$A$138</definedName>
    <definedName name="SmallBusinessSizeChoices" localSheetId="2">[1]Constants!$A$143:$A$146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??_);_(@_)"/>
    <numFmt numFmtId="165" formatCode="[$-409]mmmm\ d\,\ yyyy;@"/>
    <numFmt numFmtId="166" formatCode="_(&quot;$&quot;* #,##0.00_);_(&quot;$&quot;* \(#,##0.00\);_(&quot;$&quot;* &quot;-&quot;??_);_(@_)"/>
    <numFmt numFmtId="167" formatCode="&quot;$&quot;#,##0.00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Verdana"/>
      <family val="2"/>
      <sz val="10"/>
    </font>
    <font>
      <name val="Aptos Narrow"/>
      <family val="2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4"/>
      <scheme val="minor"/>
    </font>
    <font>
      <name val="Avenir Next LT Pro Light"/>
      <family val="2"/>
      <color theme="1"/>
      <sz val="11"/>
    </font>
    <font>
      <name val="Avenir Next LT Pro Light"/>
      <family val="2"/>
      <b val="1"/>
      <color theme="1"/>
      <sz val="11"/>
    </font>
    <font>
      <name val="Avenir Next LT Pro Light"/>
      <family val="2"/>
      <sz val="11"/>
    </font>
    <font>
      <name val="Avenir Next LT Pro Light"/>
      <family val="2"/>
      <b val="1"/>
      <color theme="0"/>
      <sz val="26"/>
    </font>
    <font>
      <name val="Avenir Next LT Pro Light"/>
      <family val="2"/>
      <b val="1"/>
      <color theme="0"/>
      <sz val="16"/>
    </font>
    <font>
      <name val="Avenir Next LT Pro Light"/>
      <family val="2"/>
      <b val="1"/>
      <color theme="0"/>
      <sz val="14"/>
    </font>
    <font>
      <name val="Avenir Next LT Pro Light"/>
      <family val="2"/>
      <b val="1"/>
      <color theme="1"/>
      <sz val="16"/>
    </font>
    <font>
      <name val="Avenir Next LT Pro Light"/>
      <family val="2"/>
      <i val="1"/>
      <sz val="16"/>
    </font>
    <font>
      <name val="Avenir Next LT Pro Light"/>
      <family val="2"/>
      <i val="1"/>
      <sz val="14"/>
    </font>
    <font>
      <name val="Avenir Next LT Pro Light"/>
      <family val="2"/>
      <b val="1"/>
      <sz val="16"/>
    </font>
    <font>
      <name val="Avenir Next LT Pro Light"/>
      <family val="2"/>
      <b val="1"/>
      <sz val="14"/>
    </font>
    <font>
      <name val="Avenir Next LT Pro Light"/>
      <family val="2"/>
      <b val="1"/>
      <color theme="9" tint="-0.499984740745262"/>
      <sz val="22"/>
    </font>
    <font>
      <name val="Avenir Next LT Pro Light"/>
      <family val="2"/>
      <b val="1"/>
      <color theme="1"/>
      <sz val="18"/>
    </font>
    <font>
      <name val="Avenir Next LT Pro Light"/>
      <family val="2"/>
      <b val="1"/>
      <color theme="0"/>
      <sz val="18"/>
    </font>
    <font>
      <name val="Avenir Next LT Pro Light"/>
      <family val="2"/>
      <color theme="0"/>
      <sz val="11"/>
    </font>
    <font>
      <name val="Avenir Next LT Pro Light"/>
      <family val="2"/>
      <b val="1"/>
      <color theme="4" tint="-0.499984740745262"/>
      <sz val="22"/>
    </font>
    <font>
      <name val="Avenir Next LT Pro Light"/>
      <family val="2"/>
      <b val="1"/>
      <color theme="0"/>
      <sz val="20"/>
    </font>
    <font>
      <name val="Avenir Next LT Pro Light"/>
      <family val="2"/>
      <color theme="0"/>
      <sz val="20"/>
    </font>
    <font>
      <name val="Avenir Next LT Pro Light"/>
      <family val="2"/>
      <color theme="1"/>
      <sz val="18"/>
    </font>
    <font>
      <name val="Avenir Next LT Pro Light"/>
      <family val="2"/>
      <i val="1"/>
      <color theme="1"/>
      <sz val="11"/>
    </font>
    <font>
      <name val="Avenir Next LT Pro Light"/>
      <family val="2"/>
      <b val="1"/>
      <color theme="1"/>
      <sz val="14"/>
    </font>
    <font>
      <name val="Avenir Next LT Pro Light"/>
      <family val="2"/>
      <color theme="1"/>
      <sz val="10"/>
    </font>
    <font>
      <name val="Avenir Next LT Pro Light"/>
      <family val="2"/>
      <b val="1"/>
      <sz val="12"/>
    </font>
    <font>
      <name val="Avenir Next LT Pro Light"/>
      <family val="2"/>
      <b val="1"/>
      <color indexed="8"/>
      <sz val="12"/>
    </font>
    <font>
      <name val="Avenir Next LT Pro Light"/>
      <family val="2"/>
      <color rgb="FF000000"/>
      <sz val="12"/>
    </font>
    <font>
      <name val="Avenir Next LT Pro Light"/>
      <family val="2"/>
      <b val="1"/>
      <i val="1"/>
      <color theme="1"/>
      <sz val="11"/>
    </font>
    <font>
      <name val="Avenir Next LT Pro Light"/>
      <family val="2"/>
      <sz val="12"/>
    </font>
    <font>
      <name val="Avenir Next LT Pro Light"/>
      <family val="2"/>
      <b val="1"/>
      <sz val="11"/>
    </font>
    <font>
      <name val="Avenir Next LT Pro Light"/>
      <family val="2"/>
      <b val="1"/>
      <color theme="1"/>
      <sz val="26"/>
    </font>
    <font>
      <name val="Avenir Next LT Pro Light"/>
      <family val="2"/>
      <b val="1"/>
      <color rgb="FFFF0000"/>
      <sz val="11"/>
    </font>
    <font>
      <b val="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1" fillId="0" borderId="0"/>
    <xf numFmtId="44" fontId="1" fillId="0" borderId="0"/>
    <xf numFmtId="0" fontId="3" fillId="0" borderId="0"/>
    <xf numFmtId="0" fontId="4" fillId="0" borderId="0"/>
    <xf numFmtId="44" fontId="2" fillId="0" borderId="0"/>
    <xf numFmtId="0" fontId="1" fillId="0" borderId="0"/>
    <xf numFmtId="44" fontId="1" fillId="0" borderId="0"/>
  </cellStyleXfs>
  <cellXfs count="237">
    <xf numFmtId="0" fontId="0" fillId="0" borderId="0" pivotButton="0" quotePrefix="0" xfId="0"/>
    <xf numFmtId="0" fontId="1" fillId="0" borderId="0" applyAlignment="1" pivotButton="0" quotePrefix="0" xfId="5">
      <alignment vertical="center" wrapText="1"/>
    </xf>
    <xf numFmtId="0" fontId="5" fillId="0" borderId="0" pivotButton="0" quotePrefix="0" xfId="0"/>
    <xf numFmtId="0" fontId="5" fillId="0" borderId="0" applyAlignment="1" pivotButton="0" quotePrefix="0" xfId="5">
      <alignment vertical="center" wrapText="1"/>
    </xf>
    <xf numFmtId="0" fontId="6" fillId="0" borderId="19" applyAlignment="1" pivotButton="0" quotePrefix="0" xfId="5">
      <alignment vertical="center" wrapText="1"/>
    </xf>
    <xf numFmtId="0" fontId="6" fillId="0" borderId="18" applyAlignment="1" pivotButton="0" quotePrefix="0" xfId="5">
      <alignment vertical="center" wrapText="1"/>
    </xf>
    <xf numFmtId="0" fontId="6" fillId="0" borderId="0" pivotButton="0" quotePrefix="0" xfId="0"/>
    <xf numFmtId="0" fontId="8" fillId="0" borderId="0" pivotButton="0" quotePrefix="0" xfId="0"/>
    <xf numFmtId="0" fontId="8" fillId="3" borderId="8" applyAlignment="1" pivotButton="0" quotePrefix="0" xfId="0">
      <alignment horizontal="center" vertical="center"/>
    </xf>
    <xf numFmtId="0" fontId="8" fillId="3" borderId="9" pivotButton="0" quotePrefix="0" xfId="0"/>
    <xf numFmtId="0" fontId="8" fillId="3" borderId="0" pivotButton="0" quotePrefix="0" xfId="0"/>
    <xf numFmtId="0" fontId="8" fillId="3" borderId="13" applyAlignment="1" pivotButton="0" quotePrefix="0" xfId="0">
      <alignment horizontal="center" vertical="center"/>
    </xf>
    <xf numFmtId="0" fontId="8" fillId="3" borderId="12" pivotButton="0" quotePrefix="0" xfId="0"/>
    <xf numFmtId="0" fontId="8" fillId="3" borderId="15" pivotButton="0" quotePrefix="0" xfId="0"/>
    <xf numFmtId="0" fontId="10" fillId="0" borderId="2" pivotButton="0" quotePrefix="0" xfId="0"/>
    <xf numFmtId="0" fontId="10" fillId="0" borderId="3" pivotButton="0" quotePrefix="0" xfId="0"/>
    <xf numFmtId="0" fontId="8" fillId="0" borderId="3" pivotButton="0" quotePrefix="0" xfId="0"/>
    <xf numFmtId="0" fontId="10" fillId="0" borderId="17" pivotButton="0" quotePrefix="0" xfId="0"/>
    <xf numFmtId="0" fontId="8" fillId="0" borderId="16" pivotButton="0" quotePrefix="0" xfId="0"/>
    <xf numFmtId="0" fontId="11" fillId="0" borderId="6" applyAlignment="1" pivotButton="0" quotePrefix="0" xfId="5">
      <alignment vertical="center" wrapText="1"/>
    </xf>
    <xf numFmtId="0" fontId="8" fillId="0" borderId="0" applyAlignment="1" pivotButton="0" quotePrefix="0" xfId="5">
      <alignment vertical="center" wrapText="1"/>
    </xf>
    <xf numFmtId="0" fontId="12" fillId="4" borderId="1" applyAlignment="1" pivotButton="0" quotePrefix="0" xfId="5">
      <alignment horizontal="center" vertical="center" wrapText="1"/>
    </xf>
    <xf numFmtId="0" fontId="13" fillId="4" borderId="1" applyAlignment="1" pivotButton="0" quotePrefix="0" xfId="5">
      <alignment horizontal="center" vertical="center" wrapText="1"/>
    </xf>
    <xf numFmtId="164" fontId="12" fillId="4" borderId="1" applyAlignment="1" pivotButton="0" quotePrefix="0" xfId="6">
      <alignment horizontal="center" vertical="center" wrapText="1"/>
    </xf>
    <xf numFmtId="0" fontId="14" fillId="0" borderId="0" applyAlignment="1" pivotButton="0" quotePrefix="0" xfId="5">
      <alignment vertical="center" wrapText="1"/>
    </xf>
    <xf numFmtId="0" fontId="15" fillId="0" borderId="5" applyAlignment="1" pivotButton="0" quotePrefix="0" xfId="5">
      <alignment horizontal="center" vertical="center" wrapText="1"/>
    </xf>
    <xf numFmtId="0" fontId="16" fillId="0" borderId="1" applyAlignment="1" pivotButton="0" quotePrefix="0" xfId="5">
      <alignment horizontal="center" vertical="center" wrapText="1"/>
    </xf>
    <xf numFmtId="0" fontId="15" fillId="0" borderId="1" applyAlignment="1" pivotButton="0" quotePrefix="0" xfId="5">
      <alignment horizontal="center" vertical="center" wrapText="1"/>
    </xf>
    <xf numFmtId="164" fontId="15" fillId="0" borderId="1" applyAlignment="1" pivotButton="0" quotePrefix="0" xfId="6">
      <alignment horizontal="center" vertical="center" wrapText="1"/>
    </xf>
    <xf numFmtId="0" fontId="15" fillId="0" borderId="1" applyAlignment="1" pivotButton="0" quotePrefix="0" xfId="5">
      <alignment horizontal="left" vertical="center" wrapText="1"/>
    </xf>
    <xf numFmtId="165" fontId="15" fillId="0" borderId="1" applyAlignment="1" pivotButton="0" quotePrefix="0" xfId="5">
      <alignment horizontal="center" vertical="center" wrapText="1"/>
    </xf>
    <xf numFmtId="0" fontId="15" fillId="0" borderId="0" applyAlignment="1" pivotButton="0" quotePrefix="0" xfId="5">
      <alignment vertical="center" wrapText="1"/>
    </xf>
    <xf numFmtId="0" fontId="17" fillId="4" borderId="5" applyAlignment="1" pivotButton="0" quotePrefix="0" xfId="5">
      <alignment horizontal="center" vertical="center" wrapText="1"/>
    </xf>
    <xf numFmtId="0" fontId="18" fillId="4" borderId="1" applyAlignment="1" pivotButton="0" quotePrefix="0" xfId="5">
      <alignment horizontal="center" vertical="center" wrapText="1"/>
    </xf>
    <xf numFmtId="0" fontId="17" fillId="4" borderId="1" applyAlignment="1" pivotButton="0" quotePrefix="0" xfId="5">
      <alignment horizontal="center" vertical="center" wrapText="1"/>
    </xf>
    <xf numFmtId="164" fontId="17" fillId="4" borderId="1" applyAlignment="1" pivotButton="0" quotePrefix="0" xfId="6">
      <alignment horizontal="center" vertical="center" wrapText="1"/>
    </xf>
    <xf numFmtId="165" fontId="17" fillId="4" borderId="5" applyAlignment="1" pivotButton="0" quotePrefix="0" xfId="5">
      <alignment horizontal="center" vertical="center" wrapText="1"/>
    </xf>
    <xf numFmtId="0" fontId="17" fillId="0" borderId="0" applyAlignment="1" pivotButton="0" quotePrefix="0" xfId="5">
      <alignment vertical="center" wrapText="1"/>
    </xf>
    <xf numFmtId="0" fontId="20" fillId="12" borderId="1" applyAlignment="1" pivotButton="0" quotePrefix="0" xfId="5">
      <alignment horizontal="center" vertical="center" wrapText="1"/>
    </xf>
    <xf numFmtId="0" fontId="8" fillId="12" borderId="1" applyAlignment="1" pivotButton="0" quotePrefix="0" xfId="5">
      <alignment horizontal="left" vertical="center" wrapText="1"/>
    </xf>
    <xf numFmtId="164" fontId="9" fillId="12" borderId="3" applyAlignment="1" pivotButton="0" quotePrefix="0" xfId="6">
      <alignment vertical="center" wrapText="1"/>
    </xf>
    <xf numFmtId="0" fontId="8" fillId="12" borderId="3" applyAlignment="1" pivotButton="0" quotePrefix="0" xfId="5">
      <alignment vertical="center" wrapText="1"/>
    </xf>
    <xf numFmtId="0" fontId="8" fillId="12" borderId="6" applyAlignment="1" pivotButton="0" quotePrefix="0" xfId="5">
      <alignment horizontal="left" vertical="center" wrapText="1"/>
    </xf>
    <xf numFmtId="165" fontId="8" fillId="12" borderId="6" applyAlignment="1" pivotButton="0" quotePrefix="0" xfId="5">
      <alignment horizontal="left" vertical="center" wrapText="1"/>
    </xf>
    <xf numFmtId="165" fontId="8" fillId="12" borderId="2" applyAlignment="1" pivotButton="0" quotePrefix="0" xfId="5">
      <alignment horizontal="left" vertical="center" wrapText="1"/>
    </xf>
    <xf numFmtId="0" fontId="20" fillId="0" borderId="1" applyAlignment="1" pivotButton="0" quotePrefix="0" xfId="5">
      <alignment horizontal="center" vertical="center" wrapText="1"/>
    </xf>
    <xf numFmtId="0" fontId="8" fillId="0" borderId="1" applyAlignment="1" pivotButton="0" quotePrefix="0" xfId="5">
      <alignment horizontal="left" vertical="center" wrapText="1"/>
    </xf>
    <xf numFmtId="164" fontId="9" fillId="0" borderId="5" applyAlignment="1" pivotButton="0" quotePrefix="0" xfId="6">
      <alignment horizontal="center" vertical="center" wrapText="1"/>
    </xf>
    <xf numFmtId="0" fontId="8" fillId="0" borderId="3" applyAlignment="1" pivotButton="0" quotePrefix="0" xfId="5">
      <alignment horizontal="left" vertical="center" wrapText="1"/>
    </xf>
    <xf numFmtId="0" fontId="8" fillId="0" borderId="4" applyAlignment="1" pivotButton="0" quotePrefix="0" xfId="5">
      <alignment horizontal="left" vertical="center" wrapText="1"/>
    </xf>
    <xf numFmtId="165" fontId="8" fillId="0" borderId="4" applyAlignment="1" pivotButton="0" quotePrefix="0" xfId="5">
      <alignment horizontal="left" vertical="center" wrapText="1"/>
    </xf>
    <xf numFmtId="165" fontId="8" fillId="0" borderId="1" applyAlignment="1" pivotButton="0" quotePrefix="0" xfId="5">
      <alignment horizontal="left" vertical="center" wrapText="1"/>
    </xf>
    <xf numFmtId="2" fontId="20" fillId="0" borderId="1" applyAlignment="1" pivotButton="0" quotePrefix="0" xfId="5">
      <alignment horizontal="center" vertical="center" wrapText="1"/>
    </xf>
    <xf numFmtId="0" fontId="8" fillId="0" borderId="5" applyAlignment="1" pivotButton="0" quotePrefix="0" xfId="5">
      <alignment horizontal="left" vertical="center" wrapText="1"/>
    </xf>
    <xf numFmtId="165" fontId="8" fillId="0" borderId="5" applyAlignment="1" pivotButton="0" quotePrefix="0" xfId="5">
      <alignment horizontal="left" vertical="center" wrapText="1"/>
    </xf>
    <xf numFmtId="164" fontId="9" fillId="12" borderId="1" applyAlignment="1" pivotButton="0" quotePrefix="0" xfId="6">
      <alignment vertical="center" wrapText="1"/>
    </xf>
    <xf numFmtId="164" fontId="21" fillId="4" borderId="3" applyAlignment="1" pivotButton="0" quotePrefix="0" xfId="6">
      <alignment vertical="center" wrapText="1"/>
    </xf>
    <xf numFmtId="164" fontId="21" fillId="4" borderId="6" applyAlignment="1" pivotButton="0" quotePrefix="0" xfId="6">
      <alignment vertical="center" wrapText="1"/>
    </xf>
    <xf numFmtId="0" fontId="20" fillId="6" borderId="1" applyAlignment="1" pivotButton="0" quotePrefix="0" xfId="5">
      <alignment horizontal="center" vertical="center" wrapText="1"/>
    </xf>
    <xf numFmtId="0" fontId="8" fillId="6" borderId="1" applyAlignment="1" pivotButton="0" quotePrefix="0" xfId="5">
      <alignment horizontal="left" vertical="center" wrapText="1"/>
    </xf>
    <xf numFmtId="164" fontId="9" fillId="6" borderId="1" applyAlignment="1" pivotButton="0" quotePrefix="0" xfId="6">
      <alignment vertical="center" wrapText="1"/>
    </xf>
    <xf numFmtId="0" fontId="8" fillId="6" borderId="3" applyAlignment="1" pivotButton="0" quotePrefix="0" xfId="5">
      <alignment vertical="center" wrapText="1"/>
    </xf>
    <xf numFmtId="0" fontId="8" fillId="6" borderId="6" applyAlignment="1" pivotButton="0" quotePrefix="0" xfId="5">
      <alignment horizontal="left" vertical="center" wrapText="1"/>
    </xf>
    <xf numFmtId="165" fontId="8" fillId="6" borderId="6" applyAlignment="1" pivotButton="0" quotePrefix="0" xfId="5">
      <alignment horizontal="left" vertical="center" wrapText="1"/>
    </xf>
    <xf numFmtId="165" fontId="8" fillId="6" borderId="2" applyAlignment="1" pivotButton="0" quotePrefix="0" xfId="5">
      <alignment horizontal="left" vertical="center" wrapText="1"/>
    </xf>
    <xf numFmtId="164" fontId="21" fillId="4" borderId="1" applyAlignment="1" pivotButton="0" quotePrefix="0" xfId="6">
      <alignment vertical="center" wrapText="1"/>
    </xf>
    <xf numFmtId="0" fontId="20" fillId="9" borderId="1" applyAlignment="1" pivotButton="0" quotePrefix="0" xfId="5">
      <alignment horizontal="center" vertical="center" wrapText="1"/>
    </xf>
    <xf numFmtId="0" fontId="8" fillId="9" borderId="1" applyAlignment="1" pivotButton="0" quotePrefix="0" xfId="5">
      <alignment horizontal="left" vertical="center" wrapText="1"/>
    </xf>
    <xf numFmtId="164" fontId="9" fillId="9" borderId="1" applyAlignment="1" pivotButton="0" quotePrefix="0" xfId="6">
      <alignment vertical="center" wrapText="1"/>
    </xf>
    <xf numFmtId="0" fontId="8" fillId="9" borderId="3" applyAlignment="1" pivotButton="0" quotePrefix="0" xfId="5">
      <alignment vertical="center" wrapText="1"/>
    </xf>
    <xf numFmtId="0" fontId="8" fillId="9" borderId="6" applyAlignment="1" pivotButton="0" quotePrefix="0" xfId="5">
      <alignment horizontal="left" vertical="center" wrapText="1"/>
    </xf>
    <xf numFmtId="165" fontId="8" fillId="9" borderId="6" applyAlignment="1" pivotButton="0" quotePrefix="0" xfId="5">
      <alignment horizontal="left" vertical="center" wrapText="1"/>
    </xf>
    <xf numFmtId="165" fontId="8" fillId="9" borderId="2" applyAlignment="1" pivotButton="0" quotePrefix="0" xfId="5">
      <alignment horizontal="left" vertical="center" wrapText="1"/>
    </xf>
    <xf numFmtId="0" fontId="24" fillId="4" borderId="3" applyAlignment="1" pivotButton="0" quotePrefix="0" xfId="5">
      <alignment horizontal="right" vertical="center" wrapText="1"/>
    </xf>
    <xf numFmtId="0" fontId="24" fillId="4" borderId="6" applyAlignment="1" pivotButton="0" quotePrefix="0" xfId="5">
      <alignment horizontal="right" vertical="center" wrapText="1"/>
    </xf>
    <xf numFmtId="0" fontId="24" fillId="4" borderId="2" applyAlignment="1" pivotButton="0" quotePrefix="0" xfId="5">
      <alignment horizontal="right" vertical="center" wrapText="1"/>
    </xf>
    <xf numFmtId="164" fontId="24" fillId="4" borderId="1" applyAlignment="1" pivotButton="0" quotePrefix="0" xfId="6">
      <alignment vertical="center" wrapText="1"/>
    </xf>
    <xf numFmtId="0" fontId="20" fillId="0" borderId="0" applyAlignment="1" pivotButton="0" quotePrefix="0" xfId="5">
      <alignment horizontal="center" vertical="center" wrapText="1"/>
    </xf>
    <xf numFmtId="0" fontId="26" fillId="0" borderId="0" applyAlignment="1" pivotButton="0" quotePrefix="0" xfId="5">
      <alignment horizontal="left" vertical="center" wrapText="1"/>
    </xf>
    <xf numFmtId="164" fontId="8" fillId="0" borderId="0" applyAlignment="1" pivotButton="0" quotePrefix="0" xfId="6">
      <alignment vertical="center" wrapText="1"/>
    </xf>
    <xf numFmtId="0" fontId="8" fillId="0" borderId="0" applyAlignment="1" pivotButton="0" quotePrefix="0" xfId="5">
      <alignment horizontal="left" vertical="center" wrapText="1"/>
    </xf>
    <xf numFmtId="165" fontId="8" fillId="0" borderId="0" applyAlignment="1" pivotButton="0" quotePrefix="0" xfId="5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wrapText="1"/>
    </xf>
    <xf numFmtId="0" fontId="8" fillId="10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wrapText="1"/>
    </xf>
    <xf numFmtId="1" fontId="8" fillId="0" borderId="1" pivotButton="0" quotePrefix="0" xfId="0"/>
    <xf numFmtId="0" fontId="8" fillId="0" borderId="1" pivotButton="0" quotePrefix="0" xfId="1"/>
    <xf numFmtId="166" fontId="8" fillId="10" borderId="1" pivotButton="0" quotePrefix="0" xfId="1"/>
    <xf numFmtId="0" fontId="29" fillId="0" borderId="1" applyAlignment="1" pivotButton="0" quotePrefix="0" xfId="0">
      <alignment vertical="center" wrapText="1"/>
    </xf>
    <xf numFmtId="0" fontId="30" fillId="0" borderId="1" applyAlignment="1" pivotButton="0" quotePrefix="0" xfId="2">
      <alignment horizontal="center" vertical="center"/>
    </xf>
    <xf numFmtId="0" fontId="30" fillId="0" borderId="1" applyAlignment="1" pivotButton="0" quotePrefix="0" xfId="2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166" fontId="8" fillId="0" borderId="1" pivotButton="0" quotePrefix="0" xfId="1"/>
    <xf numFmtId="0" fontId="28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left" wrapText="1"/>
    </xf>
    <xf numFmtId="0" fontId="34" fillId="0" borderId="0" pivotButton="0" quotePrefix="0" xfId="3"/>
    <xf numFmtId="0" fontId="35" fillId="0" borderId="0" pivotButton="0" quotePrefix="0" xfId="3"/>
    <xf numFmtId="167" fontId="35" fillId="2" borderId="1" applyAlignment="1" pivotButton="0" quotePrefix="1" xfId="3">
      <alignment horizontal="center" wrapText="1"/>
    </xf>
    <xf numFmtId="167" fontId="35" fillId="0" borderId="1" applyAlignment="1" pivotButton="0" quotePrefix="1" xfId="3">
      <alignment horizontal="center" wrapText="1"/>
    </xf>
    <xf numFmtId="49" fontId="10" fillId="0" borderId="1" applyAlignment="1" applyProtection="1" pivotButton="0" quotePrefix="0" xfId="3">
      <alignment horizontal="left" vertical="center" wrapText="1"/>
      <protection locked="0" hidden="0"/>
    </xf>
    <xf numFmtId="49" fontId="10" fillId="0" borderId="1" applyAlignment="1" applyProtection="1" pivotButton="0" quotePrefix="0" xfId="3">
      <alignment vertical="center" wrapText="1"/>
      <protection locked="0" hidden="0"/>
    </xf>
    <xf numFmtId="0" fontId="8" fillId="12" borderId="6" applyAlignment="1" pivotButton="0" quotePrefix="0" xfId="5">
      <alignment vertical="center" wrapText="1"/>
    </xf>
    <xf numFmtId="0" fontId="8" fillId="0" borderId="18" applyAlignment="1" pivotButton="0" quotePrefix="0" xfId="5">
      <alignment horizontal="left" vertical="center" wrapText="1"/>
    </xf>
    <xf numFmtId="0" fontId="8" fillId="0" borderId="16" applyAlignment="1" pivotButton="0" quotePrefix="0" xfId="5">
      <alignment horizontal="left" vertical="center" wrapText="1"/>
    </xf>
    <xf numFmtId="0" fontId="8" fillId="6" borderId="6" applyAlignment="1" pivotButton="0" quotePrefix="0" xfId="5">
      <alignment vertical="center" wrapText="1"/>
    </xf>
    <xf numFmtId="0" fontId="8" fillId="9" borderId="6" applyAlignment="1" pivotButton="0" quotePrefix="0" xfId="5">
      <alignment vertical="center" wrapText="1"/>
    </xf>
    <xf numFmtId="164" fontId="24" fillId="4" borderId="3" applyAlignment="1" pivotButton="0" quotePrefix="0" xfId="6">
      <alignment vertical="center" wrapText="1"/>
    </xf>
    <xf numFmtId="0" fontId="37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3" borderId="10" applyAlignment="1" pivotButton="0" quotePrefix="0" xfId="0">
      <alignment horizontal="center"/>
    </xf>
    <xf numFmtId="0" fontId="9" fillId="3" borderId="14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wrapText="1"/>
    </xf>
    <xf numFmtId="49" fontId="8" fillId="3" borderId="12" applyAlignment="1" pivotButton="0" quotePrefix="0" xfId="0">
      <alignment horizontal="left" vertical="top" wrapText="1"/>
    </xf>
    <xf numFmtId="0" fontId="8" fillId="3" borderId="9" applyAlignment="1" pivotButton="0" quotePrefix="0" xfId="0">
      <alignment horizontal="left" wrapText="1"/>
    </xf>
    <xf numFmtId="0" fontId="8" fillId="3" borderId="9" applyAlignment="1" pivotButton="0" quotePrefix="0" xfId="0">
      <alignment horizontal="left" vertical="center" wrapText="1"/>
    </xf>
    <xf numFmtId="0" fontId="8" fillId="3" borderId="0" applyAlignment="1" pivotButton="0" quotePrefix="0" xfId="0">
      <alignment vertical="top"/>
    </xf>
    <xf numFmtId="0" fontId="8" fillId="3" borderId="9" applyAlignment="1" pivotButton="0" quotePrefix="0" xfId="0">
      <alignment vertical="top"/>
    </xf>
    <xf numFmtId="0" fontId="7" fillId="0" borderId="1" applyAlignment="1" pivotButton="0" quotePrefix="0" xfId="0">
      <alignment horizontal="center"/>
    </xf>
    <xf numFmtId="0" fontId="19" fillId="12" borderId="5" applyAlignment="1" pivotButton="0" quotePrefix="0" xfId="5">
      <alignment horizontal="center" vertical="center" wrapText="1"/>
    </xf>
    <xf numFmtId="0" fontId="19" fillId="12" borderId="7" applyAlignment="1" pivotButton="0" quotePrefix="0" xfId="5">
      <alignment horizontal="center" vertical="center" wrapText="1"/>
    </xf>
    <xf numFmtId="0" fontId="19" fillId="12" borderId="4" applyAlignment="1" pivotButton="0" quotePrefix="0" xfId="5">
      <alignment horizontal="center" vertical="center" wrapText="1"/>
    </xf>
    <xf numFmtId="0" fontId="36" fillId="0" borderId="1" applyAlignment="1" pivotButton="0" quotePrefix="0" xfId="0">
      <alignment horizontal="center" vertical="center"/>
    </xf>
    <xf numFmtId="0" fontId="25" fillId="4" borderId="3" applyAlignment="1" pivotButton="0" quotePrefix="0" xfId="5">
      <alignment horizontal="center" vertical="center" wrapText="1"/>
    </xf>
    <xf numFmtId="0" fontId="25" fillId="4" borderId="6" applyAlignment="1" pivotButton="0" quotePrefix="0" xfId="5">
      <alignment horizontal="center" vertical="center" wrapText="1"/>
    </xf>
    <xf numFmtId="0" fontId="21" fillId="4" borderId="3" applyAlignment="1" pivotButton="0" quotePrefix="0" xfId="5">
      <alignment horizontal="right" vertical="center" wrapText="1"/>
    </xf>
    <xf numFmtId="0" fontId="21" fillId="4" borderId="6" applyAlignment="1" pivotButton="0" quotePrefix="0" xfId="5">
      <alignment horizontal="right" vertical="center" wrapText="1"/>
    </xf>
    <xf numFmtId="0" fontId="21" fillId="4" borderId="2" applyAlignment="1" pivotButton="0" quotePrefix="0" xfId="5">
      <alignment horizontal="right" vertical="center" wrapText="1"/>
    </xf>
    <xf numFmtId="0" fontId="22" fillId="4" borderId="3" applyAlignment="1" pivotButton="0" quotePrefix="0" xfId="5">
      <alignment horizontal="center" vertical="center" wrapText="1"/>
    </xf>
    <xf numFmtId="0" fontId="22" fillId="4" borderId="6" applyAlignment="1" pivotButton="0" quotePrefix="0" xfId="5">
      <alignment horizontal="center" vertical="center" wrapText="1"/>
    </xf>
    <xf numFmtId="0" fontId="23" fillId="6" borderId="5" applyAlignment="1" pivotButton="0" quotePrefix="0" xfId="5">
      <alignment horizontal="center" vertical="center" wrapText="1"/>
    </xf>
    <xf numFmtId="0" fontId="23" fillId="6" borderId="7" applyAlignment="1" pivotButton="0" quotePrefix="0" xfId="5">
      <alignment horizontal="center" vertical="center" wrapText="1"/>
    </xf>
    <xf numFmtId="0" fontId="23" fillId="6" borderId="4" applyAlignment="1" pivotButton="0" quotePrefix="0" xfId="5">
      <alignment horizontal="center" vertical="center" wrapText="1"/>
    </xf>
    <xf numFmtId="0" fontId="23" fillId="9" borderId="5" applyAlignment="1" pivotButton="0" quotePrefix="0" xfId="5">
      <alignment horizontal="center" vertical="center" wrapText="1"/>
    </xf>
    <xf numFmtId="0" fontId="23" fillId="9" borderId="7" applyAlignment="1" pivotButton="0" quotePrefix="0" xfId="5">
      <alignment horizontal="center" vertical="center" wrapText="1"/>
    </xf>
    <xf numFmtId="0" fontId="23" fillId="9" borderId="4" applyAlignment="1" pivotButton="0" quotePrefix="0" xfId="5">
      <alignment horizontal="center" vertical="center" wrapText="1"/>
    </xf>
    <xf numFmtId="0" fontId="28" fillId="9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wrapText="1"/>
    </xf>
    <xf numFmtId="0" fontId="27" fillId="0" borderId="5" applyAlignment="1" pivotButton="0" quotePrefix="0" xfId="0">
      <alignment horizontal="center" wrapText="1"/>
    </xf>
    <xf numFmtId="0" fontId="28" fillId="5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28" fillId="0" borderId="16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8" fillId="0" borderId="17" applyAlignment="1" pivotButton="0" quotePrefix="0" xfId="0">
      <alignment horizontal="center" vertical="center"/>
    </xf>
    <xf numFmtId="0" fontId="28" fillId="0" borderId="18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/>
    </xf>
    <xf numFmtId="0" fontId="33" fillId="8" borderId="3" applyAlignment="1" pivotButton="0" quotePrefix="0" xfId="0">
      <alignment horizontal="center"/>
    </xf>
    <xf numFmtId="0" fontId="33" fillId="8" borderId="6" applyAlignment="1" pivotButton="0" quotePrefix="0" xfId="0">
      <alignment horizontal="center"/>
    </xf>
    <xf numFmtId="0" fontId="33" fillId="8" borderId="2" applyAlignment="1" pivotButton="0" quotePrefix="0" xfId="0">
      <alignment horizontal="center"/>
    </xf>
    <xf numFmtId="0" fontId="33" fillId="9" borderId="3" applyAlignment="1" pivotButton="0" quotePrefix="0" xfId="0">
      <alignment horizontal="center"/>
    </xf>
    <xf numFmtId="0" fontId="33" fillId="9" borderId="6" applyAlignment="1" pivotButton="0" quotePrefix="0" xfId="0">
      <alignment horizontal="center"/>
    </xf>
    <xf numFmtId="0" fontId="33" fillId="9" borderId="2" applyAlignment="1" pivotButton="0" quotePrefix="0" xfId="0">
      <alignment horizontal="center"/>
    </xf>
    <xf numFmtId="0" fontId="33" fillId="11" borderId="3" applyAlignment="1" pivotButton="0" quotePrefix="0" xfId="0">
      <alignment horizontal="center"/>
    </xf>
    <xf numFmtId="0" fontId="33" fillId="11" borderId="6" applyAlignment="1" pivotButton="0" quotePrefix="0" xfId="0">
      <alignment horizontal="center"/>
    </xf>
    <xf numFmtId="0" fontId="33" fillId="11" borderId="2" applyAlignment="1" pivotButton="0" quotePrefix="0" xfId="0">
      <alignment horizontal="center"/>
    </xf>
    <xf numFmtId="49" fontId="35" fillId="9" borderId="1" applyAlignment="1" applyProtection="1" pivotButton="0" quotePrefix="0" xfId="3">
      <alignment horizontal="right" vertical="center" wrapText="1"/>
      <protection locked="0" hidden="0"/>
    </xf>
    <xf numFmtId="0" fontId="27" fillId="0" borderId="1" applyAlignment="1" pivotButton="0" quotePrefix="0" xfId="0">
      <alignment horizontal="left" wrapText="1"/>
    </xf>
    <xf numFmtId="49" fontId="35" fillId="8" borderId="1" applyAlignment="1" applyProtection="1" pivotButton="0" quotePrefix="0" xfId="3">
      <alignment horizontal="center" vertical="center" wrapText="1"/>
      <protection locked="0" hidden="0"/>
    </xf>
    <xf numFmtId="49" fontId="35" fillId="7" borderId="1" applyAlignment="1" applyProtection="1" pivotButton="0" quotePrefix="0" xfId="3">
      <alignment horizontal="center" vertical="center" wrapText="1"/>
      <protection locked="0" hidden="0"/>
    </xf>
    <xf numFmtId="49" fontId="35" fillId="9" borderId="1" applyAlignment="1" applyProtection="1" pivotButton="0" quotePrefix="0" xfId="3">
      <alignment horizontal="center" vertical="center" wrapText="1"/>
      <protection locked="0" hidden="0"/>
    </xf>
    <xf numFmtId="49" fontId="35" fillId="8" borderId="1" applyAlignment="1" applyProtection="1" pivotButton="0" quotePrefix="0" xfId="3">
      <alignment horizontal="right" vertical="center" wrapText="1"/>
      <protection locked="0" hidden="0"/>
    </xf>
    <xf numFmtId="49" fontId="35" fillId="7" borderId="1" applyAlignment="1" applyProtection="1" pivotButton="0" quotePrefix="0" xfId="3">
      <alignment horizontal="right" vertical="center" wrapText="1"/>
      <protection locked="0" hidden="0"/>
    </xf>
    <xf numFmtId="0" fontId="9" fillId="3" borderId="22" applyAlignment="1" pivotButton="0" quotePrefix="0" xfId="0">
      <alignment horizontal="center"/>
    </xf>
    <xf numFmtId="0" fontId="0" fillId="0" borderId="14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2" pivotButton="0" quotePrefix="0" xfId="0"/>
    <xf numFmtId="164" fontId="8" fillId="0" borderId="0" applyAlignment="1" pivotButton="0" quotePrefix="0" xfId="6">
      <alignment vertical="center" wrapText="1"/>
    </xf>
    <xf numFmtId="165" fontId="8" fillId="0" borderId="0" applyAlignment="1" pivotButton="0" quotePrefix="0" xfId="5">
      <alignment horizontal="left" vertical="center" wrapText="1"/>
    </xf>
    <xf numFmtId="0" fontId="0" fillId="0" borderId="6" pivotButton="0" quotePrefix="0" xfId="0"/>
    <xf numFmtId="164" fontId="12" fillId="4" borderId="1" applyAlignment="1" pivotButton="0" quotePrefix="0" xfId="6">
      <alignment horizontal="center" vertical="center" wrapText="1"/>
    </xf>
    <xf numFmtId="164" fontId="15" fillId="0" borderId="1" applyAlignment="1" pivotButton="0" quotePrefix="0" xfId="6">
      <alignment horizontal="center" vertical="center" wrapText="1"/>
    </xf>
    <xf numFmtId="165" fontId="15" fillId="0" borderId="1" applyAlignment="1" pivotButton="0" quotePrefix="0" xfId="5">
      <alignment horizontal="center" vertical="center" wrapText="1"/>
    </xf>
    <xf numFmtId="164" fontId="17" fillId="4" borderId="1" applyAlignment="1" pivotButton="0" quotePrefix="0" xfId="6">
      <alignment horizontal="center" vertical="center" wrapText="1"/>
    </xf>
    <xf numFmtId="165" fontId="17" fillId="4" borderId="5" applyAlignment="1" pivotButton="0" quotePrefix="0" xfId="5">
      <alignment horizontal="center" vertical="center" wrapText="1"/>
    </xf>
    <xf numFmtId="0" fontId="19" fillId="12" borderId="1" applyAlignment="1" pivotButton="0" quotePrefix="0" xfId="5">
      <alignment horizontal="center" vertical="center" wrapText="1"/>
    </xf>
    <xf numFmtId="164" fontId="9" fillId="12" borderId="3" applyAlignment="1" pivotButton="0" quotePrefix="0" xfId="6">
      <alignment vertical="center" wrapText="1"/>
    </xf>
    <xf numFmtId="165" fontId="8" fillId="12" borderId="6" applyAlignment="1" pivotButton="0" quotePrefix="0" xfId="5">
      <alignment horizontal="left" vertical="center" wrapText="1"/>
    </xf>
    <xf numFmtId="165" fontId="8" fillId="12" borderId="2" applyAlignment="1" pivotButton="0" quotePrefix="0" xfId="5">
      <alignment horizontal="left" vertical="center" wrapText="1"/>
    </xf>
    <xf numFmtId="0" fontId="0" fillId="0" borderId="7" pivotButton="0" quotePrefix="0" xfId="0"/>
    <xf numFmtId="164" fontId="9" fillId="0" borderId="5" applyAlignment="1" pivotButton="0" quotePrefix="0" xfId="6">
      <alignment horizontal="center" vertical="center" wrapText="1"/>
    </xf>
    <xf numFmtId="165" fontId="8" fillId="0" borderId="4" applyAlignment="1" pivotButton="0" quotePrefix="0" xfId="5">
      <alignment horizontal="left" vertical="center" wrapText="1"/>
    </xf>
    <xf numFmtId="165" fontId="8" fillId="0" borderId="1" applyAlignment="1" pivotButton="0" quotePrefix="0" xfId="5">
      <alignment horizontal="left" vertical="center" wrapText="1"/>
    </xf>
    <xf numFmtId="165" fontId="8" fillId="0" borderId="5" applyAlignment="1" pivotButton="0" quotePrefix="0" xfId="5">
      <alignment horizontal="left" vertical="center" wrapText="1"/>
    </xf>
    <xf numFmtId="164" fontId="9" fillId="12" borderId="1" applyAlignment="1" pivotButton="0" quotePrefix="0" xfId="6">
      <alignment vertical="center" wrapText="1"/>
    </xf>
    <xf numFmtId="0" fontId="0" fillId="0" borderId="4" pivotButton="0" quotePrefix="0" xfId="0"/>
    <xf numFmtId="0" fontId="21" fillId="4" borderId="1" applyAlignment="1" pivotButton="0" quotePrefix="0" xfId="5">
      <alignment horizontal="right" vertical="center" wrapText="1"/>
    </xf>
    <xf numFmtId="164" fontId="21" fillId="4" borderId="3" applyAlignment="1" pivotButton="0" quotePrefix="0" xfId="6">
      <alignment vertical="center" wrapText="1"/>
    </xf>
    <xf numFmtId="164" fontId="21" fillId="4" borderId="6" applyAlignment="1" pivotButton="0" quotePrefix="0" xfId="6">
      <alignment vertical="center" wrapText="1"/>
    </xf>
    <xf numFmtId="0" fontId="23" fillId="6" borderId="1" applyAlignment="1" pivotButton="0" quotePrefix="0" xfId="5">
      <alignment horizontal="center" vertical="center" wrapText="1"/>
    </xf>
    <xf numFmtId="164" fontId="9" fillId="6" borderId="1" applyAlignment="1" pivotButton="0" quotePrefix="0" xfId="6">
      <alignment vertical="center" wrapText="1"/>
    </xf>
    <xf numFmtId="165" fontId="8" fillId="6" borderId="6" applyAlignment="1" pivotButton="0" quotePrefix="0" xfId="5">
      <alignment horizontal="left" vertical="center" wrapText="1"/>
    </xf>
    <xf numFmtId="165" fontId="8" fillId="6" borderId="2" applyAlignment="1" pivotButton="0" quotePrefix="0" xfId="5">
      <alignment horizontal="left" vertical="center" wrapText="1"/>
    </xf>
    <xf numFmtId="164" fontId="21" fillId="4" borderId="1" applyAlignment="1" pivotButton="0" quotePrefix="0" xfId="6">
      <alignment vertical="center" wrapText="1"/>
    </xf>
    <xf numFmtId="0" fontId="23" fillId="9" borderId="1" applyAlignment="1" pivotButton="0" quotePrefix="0" xfId="5">
      <alignment horizontal="center" vertical="center" wrapText="1"/>
    </xf>
    <xf numFmtId="164" fontId="9" fillId="9" borderId="1" applyAlignment="1" pivotButton="0" quotePrefix="0" xfId="6">
      <alignment vertical="center" wrapText="1"/>
    </xf>
    <xf numFmtId="165" fontId="8" fillId="9" borderId="6" applyAlignment="1" pivotButton="0" quotePrefix="0" xfId="5">
      <alignment horizontal="left" vertical="center" wrapText="1"/>
    </xf>
    <xf numFmtId="165" fontId="8" fillId="9" borderId="2" applyAlignment="1" pivotButton="0" quotePrefix="0" xfId="5">
      <alignment horizontal="left" vertical="center" wrapText="1"/>
    </xf>
    <xf numFmtId="164" fontId="24" fillId="4" borderId="1" applyAlignment="1" pivotButton="0" quotePrefix="0" xfId="6">
      <alignment vertical="center" wrapText="1"/>
    </xf>
    <xf numFmtId="164" fontId="24" fillId="4" borderId="3" applyAlignment="1" pivotButton="0" quotePrefix="0" xfId="6">
      <alignment vertical="center" wrapText="1"/>
    </xf>
    <xf numFmtId="0" fontId="0" fillId="0" borderId="20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28" fillId="0" borderId="1" applyAlignment="1" pivotButton="0" quotePrefix="0" xfId="0">
      <alignment horizontal="center" vertical="center"/>
    </xf>
    <xf numFmtId="166" fontId="8" fillId="10" borderId="1" pivotButton="0" quotePrefix="0" xfId="1"/>
    <xf numFmtId="0" fontId="38" fillId="0" borderId="1" applyAlignment="1" pivotButton="0" quotePrefix="0" xfId="0">
      <alignment vertical="center" wrapText="1"/>
    </xf>
    <xf numFmtId="0" fontId="39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wrapText="1"/>
    </xf>
    <xf numFmtId="1" fontId="8" fillId="13" borderId="1" pivotButton="0" quotePrefix="0" xfId="0"/>
    <xf numFmtId="0" fontId="8" fillId="13" borderId="1" pivotButton="0" quotePrefix="0" xfId="1"/>
    <xf numFmtId="166" fontId="8" fillId="13" borderId="1" pivotButton="0" quotePrefix="0" xfId="1"/>
    <xf numFmtId="0" fontId="33" fillId="8" borderId="1" applyAlignment="1" pivotButton="0" quotePrefix="0" xfId="0">
      <alignment horizontal="center"/>
    </xf>
    <xf numFmtId="166" fontId="8" fillId="0" borderId="1" pivotButton="0" quotePrefix="0" xfId="1"/>
    <xf numFmtId="0" fontId="33" fillId="11" borderId="1" applyAlignment="1" pivotButton="0" quotePrefix="0" xfId="0">
      <alignment horizontal="center"/>
    </xf>
    <xf numFmtId="0" fontId="33" fillId="9" borderId="1" applyAlignment="1" pivotButton="0" quotePrefix="0" xfId="0">
      <alignment horizontal="center"/>
    </xf>
    <xf numFmtId="167" fontId="35" fillId="2" borderId="1" applyAlignment="1" pivotButton="0" quotePrefix="1" xfId="3">
      <alignment horizontal="center" wrapText="1"/>
    </xf>
    <xf numFmtId="167" fontId="35" fillId="0" borderId="1" applyAlignment="1" pivotButton="0" quotePrefix="1" xfId="3">
      <alignment horizontal="center" wrapText="1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</cellXfs>
  <cellStyles count="7">
    <cellStyle name="Normal" xfId="0" builtinId="0"/>
    <cellStyle name="Currency" xfId="1" builtinId="4"/>
    <cellStyle name="Normal_020812 Navy LowCostCS Costing" xfId="2"/>
    <cellStyle name="Normal 2" xfId="3"/>
    <cellStyle name="Currency 2" xfId="4"/>
    <cellStyle name="Normal 3 2" xfId="5"/>
    <cellStyle name="Currency 2 2" xfId="6"/>
  </cellStyles>
  <dxfs count="7">
    <dxf>
      <font>
        <name val="Avenir Next LT Pro Light"/>
        <family val="2"/>
        <strike val="0"/>
        <outline val="0"/>
        <shadow val="0"/>
        <sz val="11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venir Next LT Pro Light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venir Next LT Pro Light"/>
        <family val="2"/>
        <strike val="0"/>
        <outline val="0"/>
        <shadow val="0"/>
        <sz val="11"/>
        <vertAlign val="baseline"/>
      </font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ih-my.sharepoint.com/personal/cacereses_nih_gov/Documents/Microsoft%20Teams%20Chat%20Files/DARPAStandardCostProposalSpreadsheetMultiple%20TAs11-2021-v4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Instructions"/>
      <sheetName val="Change Notes"/>
      <sheetName val="Constants"/>
      <sheetName val="Proposer Constants"/>
      <sheetName val="Labor Rates"/>
      <sheetName val="Summary Cost Table"/>
      <sheetName val="Indirect Rates and Profit_Fee"/>
      <sheetName val="Total Amount"/>
      <sheetName val="TA Summary"/>
      <sheetName val="Base (Phase 1)"/>
      <sheetName val="Phase 1 TA 1"/>
      <sheetName val="Phase 1 TA 2"/>
      <sheetName val="Phase 1 TA 3"/>
      <sheetName val="O-I (Phase 2)"/>
      <sheetName val="Phase 2 TA 1"/>
      <sheetName val="Phase 2 TA 2"/>
      <sheetName val="Phase 2 TA 3"/>
      <sheetName val="O-II (Phase 3)"/>
      <sheetName val="O-III"/>
      <sheetName val="O-IV"/>
      <sheetName val="O-V"/>
      <sheetName val="Phase 3 TA 1"/>
      <sheetName val="Phase 3 TA 2"/>
      <sheetName val="Phase 3 TA 3"/>
      <sheetName val="Subcontractor"/>
      <sheetName val="Consultants"/>
      <sheetName val="Materials-Supplies"/>
      <sheetName val="Equipment"/>
      <sheetName val="Travel"/>
      <sheetName val="ODC Details"/>
      <sheetName val="Animal-Human Use Y-N"/>
      <sheetName val="Animal Related"/>
      <sheetName val="Human Subjects Research"/>
      <sheetName val="Expenditures by Month"/>
      <sheetName val="Task 1"/>
      <sheetName val="Task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ables/table1.xml><?xml version="1.0" encoding="utf-8"?>
<table xmlns="http://schemas.openxmlformats.org/spreadsheetml/2006/main" id="1" name="TeamTable" displayName="TeamTable" ref="A2:B26" headerRowCount="1" totalsRowShown="0" headerRowDxfId="6" dataDxfId="5" headerRowBorderDxfId="3" tableBorderDxfId="4" totalsRowBorderDxfId="2" headerRowCellStyle="Normal 3 2">
  <autoFilter ref="A2:B26"/>
  <tableColumns count="2">
    <tableColumn id="1" name="Role" dataDxfId="1"/>
    <tableColumn id="2" name="Name _x000a_(Company, University, Person, Etc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44"/>
  <sheetViews>
    <sheetView tabSelected="1" topLeftCell="A10" zoomScale="90" zoomScaleNormal="90" workbookViewId="0">
      <selection activeCell="B26" sqref="B26:M26"/>
    </sheetView>
  </sheetViews>
  <sheetFormatPr baseColWidth="8" defaultColWidth="9" defaultRowHeight="13.9"/>
  <cols>
    <col width="9" customWidth="1" style="7" min="1" max="16384"/>
  </cols>
  <sheetData>
    <row r="1" ht="14.25" customHeight="1" thickBot="1"/>
    <row r="2">
      <c r="A2" s="173" t="inlineStr">
        <is>
          <t>Team Structure Sheet</t>
        </is>
      </c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5" t="n"/>
    </row>
    <row r="3" ht="28.5" customHeight="1">
      <c r="A3" s="8" t="n">
        <v>1</v>
      </c>
      <c r="B3" s="116" t="inlineStr">
        <is>
          <t>In the Role column, select the type of participant (Prime/Performer, Sub Performer, or Consultant).</t>
        </is>
      </c>
      <c r="N3" s="9" t="n"/>
    </row>
    <row r="4">
      <c r="A4" s="8" t="n">
        <v>2</v>
      </c>
      <c r="B4" s="117" t="inlineStr">
        <is>
          <t>In the Name (Company, University, Person, Etc.) column, enter the legal name of each organization or individual.</t>
        </is>
      </c>
      <c r="N4" s="9" t="n"/>
    </row>
    <row r="5">
      <c r="A5" s="8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9" t="n"/>
    </row>
    <row r="6" ht="46.5" customHeight="1">
      <c r="A6" s="8" t="inlineStr">
        <is>
          <t>Note:</t>
        </is>
      </c>
      <c r="B6" s="117" t="inlineStr">
        <is>
          <t>The entries in this column are used to populate drop-down lists on other sheets (e.g., Milestones and Deliverables).
Ensure that all proposed Prime, Sub, Consultant, and Other performers are listed here so they can be selected later from drop-down menus.</t>
        </is>
      </c>
      <c r="N6" s="9" t="n"/>
    </row>
    <row r="7" ht="14.25" customHeight="1" thickBot="1">
      <c r="A7" s="11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</row>
    <row r="8" ht="14.25" customHeight="1" thickBot="1"/>
    <row r="9">
      <c r="A9" s="173" t="inlineStr">
        <is>
          <t>Milestones and Deliverables Sheet</t>
        </is>
      </c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5" t="n"/>
    </row>
    <row r="10">
      <c r="A10" s="8" t="n">
        <v>1</v>
      </c>
      <c r="B10" s="10" t="inlineStr">
        <is>
          <t>For each phase, please provide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9" t="n"/>
    </row>
    <row r="11">
      <c r="A11" s="8" t="n"/>
      <c r="B11" s="10" t="inlineStr">
        <is>
          <t xml:space="preserve">Task/Subtask number 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9" t="n"/>
    </row>
    <row r="12">
      <c r="A12" s="8" t="n"/>
      <c r="B12" s="10" t="inlineStr">
        <is>
          <t>Task/Subtask title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9" t="n"/>
    </row>
    <row r="13">
      <c r="A13" s="8" t="n"/>
      <c r="B13" s="10" t="inlineStr">
        <is>
          <t>The total price for that specific Subtask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9" t="n"/>
    </row>
    <row r="14" ht="29.25" customHeight="1">
      <c r="A14" s="8" t="n"/>
      <c r="B14" s="119" t="inlineStr">
        <is>
          <t>The Organizations (Prime, Subs, and/or consultants) involved with completing that Task/Subtask and their associated prices. 
NOTE: (The total of all of the organization prices here should equal the total price of the subtask)</t>
        </is>
      </c>
      <c r="N14" s="176" t="n"/>
      <c r="O14" s="111" t="n"/>
    </row>
    <row r="15" ht="17.65" customHeight="1">
      <c r="A15" s="8" t="n"/>
      <c r="B15" s="120" t="inlineStr">
        <is>
          <t>Pricing Details - Please provide a breakdown (Labor, Travel, Equipment, etc.) to equal total amount proposed</t>
        </is>
      </c>
      <c r="N15" s="176" t="n"/>
      <c r="O15" s="111" t="n"/>
    </row>
    <row r="16">
      <c r="A16" s="8" t="n"/>
      <c r="B16" s="10" t="inlineStr">
        <is>
          <t xml:space="preserve">Description and Approach of Task/Subtask - Please be as descriptive as possible 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9" t="n"/>
    </row>
    <row r="17">
      <c r="A17" s="8" t="n"/>
      <c r="B17" s="10" t="inlineStr">
        <is>
          <t>Exit Criteria or Metrics outcome from the Task/Subtask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n"/>
    </row>
    <row r="18">
      <c r="A18" s="8" t="n"/>
      <c r="B18" s="10" t="inlineStr">
        <is>
          <t>Milestone deliverable outcome of  the Task/Subtask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9" t="n"/>
    </row>
    <row r="19">
      <c r="A19" s="8" t="n"/>
      <c r="B19" s="10" t="inlineStr">
        <is>
          <t>Start and End dates for the Task/Subtask - MM/DD/YYYY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9" t="n"/>
    </row>
    <row r="20">
      <c r="A20" s="8" t="n"/>
      <c r="B20" s="10" t="inlineStr">
        <is>
          <t>When the milestone deliverable is due (within X months after award)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9" t="n"/>
    </row>
    <row r="21">
      <c r="A21" s="8" t="n">
        <v>2</v>
      </c>
      <c r="B21" s="10" t="inlineStr">
        <is>
          <t>Each phase will be totaled at the beginning of each phase section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9" t="n"/>
    </row>
    <row r="22" ht="31.5" customHeight="1">
      <c r="A22" s="8" t="n">
        <v>3</v>
      </c>
      <c r="B22" s="116" t="inlineStr">
        <is>
          <t>A total amount for all the phases will be calculated at the bottom, which should be the same as the total amount listed on the Appendix C.3 cover page.</t>
        </is>
      </c>
      <c r="N22" s="9" t="n"/>
    </row>
    <row r="23">
      <c r="A23" s="8" t="n">
        <v>4</v>
      </c>
      <c r="B23" s="10" t="inlineStr">
        <is>
          <t>Any rows not needed can be hidden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9" t="n"/>
    </row>
    <row r="24" ht="30.75" customHeight="1">
      <c r="A24" s="8" t="n">
        <v>5</v>
      </c>
      <c r="B24" s="117" t="inlineStr">
        <is>
          <t>Add additional rows if needed, but follow the same format and structure (ensure total price calculations include any added rows)</t>
        </is>
      </c>
      <c r="N24" s="9" t="n"/>
    </row>
    <row r="25">
      <c r="A25" s="8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9" t="n"/>
    </row>
    <row r="26" ht="12.75" customHeight="1" thickBot="1">
      <c r="A26" s="11" t="n"/>
      <c r="B26" s="118" t="n"/>
      <c r="C26" s="177" t="n"/>
      <c r="D26" s="177" t="n"/>
      <c r="E26" s="177" t="n"/>
      <c r="F26" s="177" t="n"/>
      <c r="G26" s="177" t="n"/>
      <c r="H26" s="177" t="n"/>
      <c r="I26" s="177" t="n"/>
      <c r="J26" s="177" t="n"/>
      <c r="K26" s="177" t="n"/>
      <c r="L26" s="177" t="n"/>
      <c r="M26" s="177" t="n"/>
      <c r="N26" s="13" t="n"/>
    </row>
    <row r="27" ht="14.25" customHeight="1" thickBot="1"/>
    <row r="28">
      <c r="A28" s="173" t="inlineStr">
        <is>
          <t>Labor Sheet</t>
        </is>
      </c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5" t="n"/>
    </row>
    <row r="29" ht="15" customHeight="1">
      <c r="A29" s="8" t="n">
        <v>1</v>
      </c>
      <c r="B29" s="10" t="inlineStr">
        <is>
          <t>For each phase, please provide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9" t="n"/>
    </row>
    <row r="30" ht="15" customHeight="1">
      <c r="A30" s="8" t="n"/>
      <c r="B30" s="122" t="inlineStr">
        <is>
          <t xml:space="preserve">The name of the individuals </t>
        </is>
      </c>
      <c r="N30" s="176" t="n"/>
    </row>
    <row r="31" ht="15" customHeight="1">
      <c r="A31" s="8" t="n"/>
      <c r="B31" s="10" t="inlineStr">
        <is>
          <t>The Labor Category Proposed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9" t="n"/>
    </row>
    <row r="32">
      <c r="A32" s="8" t="n"/>
      <c r="B32" s="10" t="inlineStr">
        <is>
          <t>The Organization (Prime, Sub, Consultant, etc.) proposing the labor category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9" t="n"/>
    </row>
    <row r="33">
      <c r="A33" s="8" t="n"/>
      <c r="B33" s="10" t="inlineStr">
        <is>
          <t>The Hours needed to complete that Task/Subtask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9" t="n"/>
    </row>
    <row r="34">
      <c r="A34" s="8" t="n"/>
      <c r="B34" s="10" t="inlineStr">
        <is>
          <t>The Tasks/Subtasks associated with that Labor Category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9" t="n"/>
    </row>
    <row r="35" ht="14.25" customHeight="1" thickBot="1">
      <c r="A35" s="11" t="n">
        <v>2</v>
      </c>
      <c r="B35" s="12" t="inlineStr">
        <is>
          <t>Add additional rows if needed, but follow the same format and structure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n"/>
    </row>
    <row r="36" ht="14.25" customHeight="1" thickBot="1"/>
    <row r="37">
      <c r="A37" s="173" t="inlineStr">
        <is>
          <t>Equipment Sheet</t>
        </is>
      </c>
      <c r="B37" s="174" t="n"/>
      <c r="C37" s="174" t="n"/>
      <c r="D37" s="174" t="n"/>
      <c r="E37" s="174" t="n"/>
      <c r="F37" s="174" t="n"/>
      <c r="G37" s="174" t="n"/>
      <c r="H37" s="174" t="n"/>
      <c r="I37" s="174" t="n"/>
      <c r="J37" s="174" t="n"/>
      <c r="K37" s="174" t="n"/>
      <c r="L37" s="174" t="n"/>
      <c r="M37" s="174" t="n"/>
      <c r="N37" s="175" t="n"/>
    </row>
    <row r="38">
      <c r="A38" s="8" t="n">
        <v>1</v>
      </c>
      <c r="B38" s="10" t="inlineStr">
        <is>
          <t>Fill out each column of information (general information is provided within each)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9" t="n"/>
    </row>
    <row r="39">
      <c r="A39" s="8" t="n">
        <v>2</v>
      </c>
      <c r="B39" s="10" t="inlineStr">
        <is>
          <t>Only provide information on equipment with a UNIT price of $10,000 or more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9" t="n"/>
    </row>
    <row r="40" ht="14.25" customHeight="1" thickBot="1">
      <c r="A40" s="11" t="n">
        <v>3</v>
      </c>
      <c r="B40" s="12" t="inlineStr">
        <is>
          <t>Add additional rows if needed, but follow the same format and structure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3" t="n"/>
    </row>
    <row r="41" ht="14.25" customHeight="1" thickBot="1"/>
    <row r="42">
      <c r="A42" s="173" t="inlineStr">
        <is>
          <t>Travel Sheet</t>
        </is>
      </c>
      <c r="B42" s="174" t="n"/>
      <c r="C42" s="174" t="n"/>
      <c r="D42" s="174" t="n"/>
      <c r="E42" s="174" t="n"/>
      <c r="F42" s="174" t="n"/>
      <c r="G42" s="174" t="n"/>
      <c r="H42" s="174" t="n"/>
      <c r="I42" s="174" t="n"/>
      <c r="J42" s="174" t="n"/>
      <c r="K42" s="174" t="n"/>
      <c r="L42" s="174" t="n"/>
      <c r="M42" s="174" t="n"/>
      <c r="N42" s="175" t="n"/>
    </row>
    <row r="43">
      <c r="A43" s="8" t="n">
        <v>1</v>
      </c>
      <c r="B43" s="10" t="inlineStr">
        <is>
          <t>Fill out each column of information (general information is provided within each)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9" t="n"/>
    </row>
    <row r="44" ht="14.25" customHeight="1" thickBot="1">
      <c r="A44" s="11" t="n">
        <v>2</v>
      </c>
      <c r="B44" s="12" t="inlineStr">
        <is>
          <t>Add additional rows if needed, but follow the same format and structure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3" t="n"/>
    </row>
  </sheetData>
  <mergeCells count="14">
    <mergeCell ref="B6:M6"/>
    <mergeCell ref="A9:N9"/>
    <mergeCell ref="B24:M24"/>
    <mergeCell ref="B14:N14"/>
    <mergeCell ref="B3:M3"/>
    <mergeCell ref="A28:N28"/>
    <mergeCell ref="A2:N2"/>
    <mergeCell ref="B22:M22"/>
    <mergeCell ref="B30:N30"/>
    <mergeCell ref="B26:M26"/>
    <mergeCell ref="B15:N15"/>
    <mergeCell ref="A42:N42"/>
    <mergeCell ref="A37:N37"/>
    <mergeCell ref="B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:B1"/>
    </sheetView>
  </sheetViews>
  <sheetFormatPr baseColWidth="8" defaultRowHeight="14.25"/>
  <cols>
    <col width="16.42578125" customWidth="1" min="1" max="1"/>
    <col width="33.7109375" customWidth="1" min="2" max="2"/>
  </cols>
  <sheetData>
    <row r="1" ht="18" customHeight="1">
      <c r="A1" s="123" t="inlineStr">
        <is>
          <t>Organization Structure</t>
        </is>
      </c>
      <c r="B1" s="178" t="n"/>
    </row>
    <row r="2" ht="30" customFormat="1" customHeight="1" s="1">
      <c r="A2" s="4" t="inlineStr">
        <is>
          <t>Role</t>
        </is>
      </c>
      <c r="B2" s="5" t="inlineStr">
        <is>
          <t>Name 
(Company, University, Person, Etc.)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14" t="n"/>
      <c r="B3" s="15" t="n"/>
      <c r="C3" s="2" t="n"/>
      <c r="D3" s="6" t="inlineStr">
        <is>
          <t>Prime/Performer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14" t="n"/>
      <c r="B4" s="15" t="n"/>
      <c r="C4" s="2" t="n"/>
      <c r="D4" s="6" t="inlineStr">
        <is>
          <t>Sub Performer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14" t="n"/>
      <c r="B5" s="15" t="n"/>
      <c r="C5" s="2" t="n"/>
      <c r="D5" s="6" t="inlineStr">
        <is>
          <t>Consultant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14" t="inlineStr">
        <is>
          <t>Prime/Performer</t>
        </is>
      </c>
      <c r="B6" s="15" t="inlineStr">
        <is>
          <t>Institute for Physical AI (IPAI), Purdue University</t>
        </is>
      </c>
      <c r="C6" s="2" t="inlineStr">
        <is>
          <t>Prime; PI: Ananth Grama. TA1 disease-model co-lead (Grama + Anne Carpenter). TA2 experiment-design-engine co-lead (Grama + Cytognosis).</t>
        </is>
      </c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14" t="inlineStr">
        <is>
          <t>Sub Performer</t>
        </is>
      </c>
      <c r="B7" s="16" t="inlineStr">
        <is>
          <t>Cytognosis Foundation</t>
        </is>
      </c>
      <c r="C7" t="inlineStr">
        <is>
          <t>TA1 disease-model lead (Shahin Mohammadi); TA1-TA2 hypothesis-generation lead; TA2 co-lead; semantic foundation co-lead. PM Patricia Purcell + SWE/Architect hired here. 15% de minimis F&amp;A.</t>
        </is>
      </c>
    </row>
    <row r="8">
      <c r="A8" s="14" t="inlineStr">
        <is>
          <t>Sub Performer</t>
        </is>
      </c>
      <c r="B8" s="16" t="inlineStr">
        <is>
          <t>Purdue University — Tegtmeyer Lab (Biomedical Engineering / Integrative Neuroscience; non-IPAI dept)</t>
        </is>
      </c>
      <c r="C8" t="inlineStr">
        <is>
          <t>TA4 academic execution arm: iPSC-neuron wet-lab, multimodal readouts (transcriptomic, morphological Cell Painting, calcium imaging). Matthew Tegtmeyer also TA1 disease-modeling contributor. ~57% Purdue F&amp;A applies.</t>
        </is>
      </c>
    </row>
    <row r="9">
      <c r="A9" s="14" t="inlineStr">
        <is>
          <t>Sub Performer</t>
        </is>
      </c>
      <c r="B9" s="16" t="inlineStr">
        <is>
          <t>SIFT (Smart Information Flow Technologies)</t>
        </is>
      </c>
      <c r="C9" t="inlineStr">
        <is>
          <t>TA2-TA3 / TA3 / TA3-TA4 lead. Dan Bryce (lead), Robert Goldman (advisory). LabOP protocol stack (co-authors); scoped VOI planning layer under IPAI+Cytognosis co-lead. ~2-3 FTE; 24,204 hrs total; DL $4.09M / indirect $2.20M / fee $0.64M / travel $0.07M.</t>
        </is>
      </c>
    </row>
    <row r="10">
      <c r="A10" s="14" t="inlineStr">
        <is>
          <t>Sub Performer</t>
        </is>
      </c>
      <c r="B10" s="16" t="inlineStr">
        <is>
          <t>Cellanome</t>
        </is>
      </c>
      <c r="C10" t="inlineStr">
        <is>
          <t>TA4 industry execution arm: live-cell imaging, same-cell scRNA-seq, Perturb-seq (R3200). RENT-and-run base model (~$6M; quote pending from Cellanome BD + Psomagen). TA4-industry lead name TBD.</t>
        </is>
      </c>
    </row>
    <row r="11">
      <c r="A11" s="14" t="inlineStr">
        <is>
          <t>Sub Performer</t>
        </is>
      </c>
      <c r="B11" s="16" t="inlineStr">
        <is>
          <t>McLean Hospital / Harvard Medical School</t>
        </is>
      </c>
      <c r="C11" t="inlineStr">
        <is>
          <t>Clinical and translational disease modeling; data governance. W. Brad Ruzicka. Direct salary capped at $228K x 0.20 FTE = $45.6K/yr; McLean covers remainder.</t>
        </is>
      </c>
    </row>
    <row r="12">
      <c r="A12" s="14" t="inlineStr">
        <is>
          <t>Consultant</t>
        </is>
      </c>
      <c r="B12" s="16" t="inlineStr">
        <is>
          <t>Duane Valz (legal/IP; billed through Cytognosis)</t>
        </is>
      </c>
      <c r="C12" t="inlineStr">
        <is>
          <t>OT agreement review, IP/field-of-use strategy, subaward and teaming, OSS licensing. ~$750/hr x ~150-300 hrs over 5 yr = ~$0.15-0.25M. Not key personnel.</t>
        </is>
      </c>
    </row>
    <row r="13">
      <c r="A13" s="14" t="inlineStr">
        <is>
          <t>Sub Performer</t>
        </is>
      </c>
      <c r="B13" s="16" t="inlineStr">
        <is>
          <t>TA4 Sequencing CRO (to be named; Illumina optional in-kind)</t>
        </is>
      </c>
      <c r="C13" t="inlineStr">
        <is>
          <t>scRNA-seq and Perturb-seq sequencing service (~$2.0M over 5 yr; NovaSeq X+ ~$2,050/1.25B-read lane). Illumina participates under optional PCX in-kind partnership.</t>
        </is>
      </c>
    </row>
    <row r="14">
      <c r="A14" s="14" t="inlineStr">
        <is>
          <t>Other</t>
        </is>
      </c>
      <c r="B14" s="16" t="inlineStr">
        <is>
          <t>Shared Program Compute (program line; managed by IPAI + Cytognosis)</t>
        </is>
      </c>
      <c r="C14" t="inlineStr">
        <is>
          <t>GPU and cloud compute for TA1 model training and TA2 engine inference (~$2.5M over 5 yr). Partially offset by IPAI/Purdue HPC in-kind (Anvil/Brown, ~$2.0M at NSF ACCESS rates).</t>
        </is>
      </c>
    </row>
    <row r="15">
      <c r="A15" s="14" t="n"/>
      <c r="B15" s="16" t="n"/>
    </row>
    <row r="16">
      <c r="A16" s="14" t="n"/>
      <c r="B16" s="16" t="n"/>
    </row>
    <row r="17">
      <c r="A17" s="14" t="n"/>
      <c r="B17" s="16" t="n"/>
    </row>
    <row r="18">
      <c r="A18" s="14" t="n"/>
      <c r="B18" s="16" t="n"/>
    </row>
    <row r="19">
      <c r="A19" s="14" t="n"/>
      <c r="B19" s="16" t="n"/>
    </row>
    <row r="20">
      <c r="A20" s="14" t="n"/>
      <c r="B20" s="16" t="n"/>
    </row>
    <row r="21">
      <c r="A21" s="14" t="n"/>
      <c r="B21" s="16" t="n"/>
    </row>
    <row r="22">
      <c r="A22" s="14" t="n"/>
      <c r="B22" s="16" t="n"/>
    </row>
    <row r="23">
      <c r="A23" s="14" t="n"/>
      <c r="B23" s="16" t="n"/>
    </row>
    <row r="24">
      <c r="A24" s="14" t="n"/>
      <c r="B24" s="16" t="n"/>
    </row>
    <row r="25">
      <c r="A25" s="14" t="n"/>
      <c r="B25" s="16" t="n"/>
    </row>
    <row r="26">
      <c r="A26" s="17" t="n"/>
      <c r="B26" s="18" t="n"/>
    </row>
  </sheetData>
  <mergeCells count="1">
    <mergeCell ref="A1:B1"/>
  </mergeCells>
  <dataValidations count="1">
    <dataValidation sqref="A3:A26" showDropDown="0" showInputMessage="1" showErrorMessage="1" allowBlank="1" type="list">
      <formula1>$D$3:$D$5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3"/>
  <sheetViews>
    <sheetView zoomScale="60" zoomScaleNormal="60" workbookViewId="0">
      <pane ySplit="2" topLeftCell="A3" activePane="bottomLeft" state="frozen"/>
      <selection pane="bottomLeft" activeCell="C127" sqref="C127"/>
    </sheetView>
  </sheetViews>
  <sheetFormatPr baseColWidth="8" defaultColWidth="10.5703125" defaultRowHeight="22.9"/>
  <cols>
    <col width="25.28515625" customWidth="1" style="20" min="1" max="1"/>
    <col width="19.140625" customWidth="1" style="77" min="2" max="2"/>
    <col width="47.140625" customWidth="1" style="78" min="3" max="3"/>
    <col width="46.28515625" customWidth="1" style="179" min="4" max="4"/>
    <col width="38.140625" customWidth="1" style="20" min="5" max="6"/>
    <col width="65.5703125" customWidth="1" style="80" min="7" max="9"/>
    <col width="23.7109375" customWidth="1" style="180" min="10" max="11"/>
    <col width="42.140625" customWidth="1" style="180" min="12" max="12"/>
    <col width="10.5703125" customWidth="1" style="20" min="13" max="25"/>
    <col width="9.42578125" customWidth="1" style="20" min="26" max="26"/>
    <col width="10.5703125" customWidth="1" style="20" min="27" max="16384"/>
  </cols>
  <sheetData>
    <row r="1" ht="32.65" customHeight="1">
      <c r="A1" s="127" t="inlineStr">
        <is>
          <t xml:space="preserve">Milestones and Deliverables  </t>
        </is>
      </c>
      <c r="B1" s="181" t="n"/>
      <c r="C1" s="181" t="n"/>
      <c r="D1" s="178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 ht="41.25" customFormat="1" customHeight="1" s="24">
      <c r="A2" s="21" t="inlineStr">
        <is>
          <t>Period</t>
        </is>
      </c>
      <c r="B2" s="22" t="inlineStr">
        <is>
          <t>Task/
Subtask #</t>
        </is>
      </c>
      <c r="C2" s="21" t="inlineStr">
        <is>
          <t>TA/Subtask Title</t>
        </is>
      </c>
      <c r="D2" s="182" t="inlineStr">
        <is>
          <t>Price ($)</t>
        </is>
      </c>
      <c r="E2" s="21" t="inlineStr">
        <is>
          <t xml:space="preserve">Organization </t>
        </is>
      </c>
      <c r="F2" s="21" t="inlineStr">
        <is>
          <t>Pricing Details</t>
        </is>
      </c>
      <c r="G2" s="21" t="inlineStr">
        <is>
          <t>Description/Approach</t>
        </is>
      </c>
      <c r="H2" s="21" t="inlineStr">
        <is>
          <t>Exit Criteria/Metrics</t>
        </is>
      </c>
      <c r="I2" s="21" t="inlineStr">
        <is>
          <t>Milestone Deliverables 
(if applicable)</t>
        </is>
      </c>
      <c r="J2" s="21" t="inlineStr">
        <is>
          <t>Task/Subtask Start Date</t>
        </is>
      </c>
      <c r="K2" s="21" t="inlineStr">
        <is>
          <t>Task/Subtask 
End Date</t>
        </is>
      </c>
      <c r="L2" s="21" t="inlineStr">
        <is>
          <t>Milestone Date 
(if applicable)</t>
        </is>
      </c>
    </row>
    <row r="3" ht="103.15" customFormat="1" customHeight="1" s="31">
      <c r="A3" s="25" t="inlineStr">
        <is>
          <t>SAMPLE:</t>
        </is>
      </c>
      <c r="B3" s="26" t="inlineStr">
        <is>
          <t>X.X</t>
        </is>
      </c>
      <c r="C3" s="27" t="inlineStr">
        <is>
          <t>1, 2, 3, or 4</t>
        </is>
      </c>
      <c r="D3" s="183" t="n">
        <v>100000</v>
      </c>
      <c r="E3" s="29" t="inlineStr">
        <is>
          <t>Prime: $25,000
Sub Performer A: $35,000
Consultant A: $40,000</t>
        </is>
      </c>
      <c r="F3" s="29" t="inlineStr">
        <is>
          <t>Labor: $50,000
Travel: $2,000
Subpreformers: $30,000
Equipment: $10,000
ODCs: $8,000</t>
        </is>
      </c>
      <c r="G3" s="27" t="inlineStr">
        <is>
          <t>Narrative</t>
        </is>
      </c>
      <c r="H3" s="27" t="inlineStr">
        <is>
          <t>Criteria/Metrics</t>
        </is>
      </c>
      <c r="I3" s="27" t="inlineStr">
        <is>
          <t>Deliverable ABC</t>
        </is>
      </c>
      <c r="J3" s="184" t="n">
        <v>46023</v>
      </c>
      <c r="K3" s="184" t="n">
        <v>46025</v>
      </c>
      <c r="L3" s="184" t="n">
        <v>46024</v>
      </c>
    </row>
    <row r="4" ht="20.65" customFormat="1" customHeight="1" s="37">
      <c r="A4" s="32" t="n"/>
      <c r="B4" s="33" t="n"/>
      <c r="C4" s="34" t="n"/>
      <c r="D4" s="185" t="n"/>
      <c r="E4" s="32" t="n"/>
      <c r="F4" s="32" t="n"/>
      <c r="G4" s="32" t="n"/>
      <c r="H4" s="32" t="n"/>
      <c r="I4" s="32" t="n"/>
      <c r="J4" s="186" t="n"/>
      <c r="K4" s="186" t="n"/>
      <c r="L4" s="186" t="n"/>
    </row>
    <row r="5" ht="24" customHeight="1">
      <c r="A5" s="187" t="inlineStr">
        <is>
          <t>Phase I (18 month base)</t>
        </is>
      </c>
      <c r="B5" s="38" t="n">
        <v>1</v>
      </c>
      <c r="C5" s="39" t="inlineStr">
        <is>
          <t>TA1: Disease Model Architecture and Causal Core</t>
        </is>
      </c>
      <c r="D5" s="188">
        <f>SUM(D6:D15)</f>
        <v/>
      </c>
      <c r="E5" s="41" t="n"/>
      <c r="F5" s="105" t="n"/>
      <c r="G5" s="42" t="n"/>
      <c r="H5" s="42" t="n"/>
      <c r="I5" s="42" t="n"/>
      <c r="J5" s="189" t="n"/>
      <c r="K5" s="189" t="n"/>
      <c r="L5" s="190" t="n"/>
    </row>
    <row r="6">
      <c r="A6" s="191" t="n"/>
      <c r="B6" s="45" t="n">
        <v>1.1</v>
      </c>
      <c r="C6" s="46" t="inlineStr">
        <is>
          <t>TA1: Disease Model Architecture and Causal Core</t>
        </is>
      </c>
      <c r="D6" s="192" t="n">
        <v>3600000</v>
      </c>
      <c r="E6" s="48" t="inlineStr">
        <is>
          <t>Prime (Purdue/IPAI): $1,800,000
Sub (Cytognosis): $1,800,000</t>
        </is>
      </c>
      <c r="F6" s="106" t="inlineStr">
        <is>
          <t>Labor: $3,200,000
ODCs (compute): $400,000</t>
        </is>
      </c>
      <c r="G6" s="49" t="inlineStr">
        <is>
          <t>Build multiscale network prior (STRING/SIGNOR/OmniPath + PsychENCODE). Three-latent SCM (basal/disease/treatment; SAMS-VAE extension). Joint cellular-clinical shift-space alignment via OT/MMD. Ontology-grounded hypothesis templates (MONDO/GO/Cell Ontology; TransBox EL++). Stage 1 phenotypic-triage screen: 22q11.2/TBX1 + SCHEMA genes isogenic iPSC-NGN2 pairs; transcriptomic + Cell-Painting morphology + calcium imaging. Genomic FM initialization (AlphaGenome, VariantFormer). Graph-wavelet GNNs for multiresolution diffusion.</t>
        </is>
      </c>
      <c r="H6" s="49" t="inlineStr">
        <is>
          <t>&gt;=3 containerized sub-models pass IV&amp;V unit tests by Month 12. &gt;=3 ExperimentIntent objects passed to TA2 by Month 15. &gt;=1 TA4 data return ingested and model updated by Month 18. Stage 1 triage: 5-10 highest-effect genes identified with quantitative phenotypic-shift metrics.</t>
        </is>
      </c>
      <c r="I6" s="49" t="inlineStr">
        <is>
          <t>TA1 architecture document + &gt;=3 sub-models executable (Apache-2.0). Coverage map &gt;=3 quantitative knowledge gaps. Stage 1 triage screen results (top 5-10 genes for Phase II Perturb-seq).</t>
        </is>
      </c>
      <c r="J6" s="193" t="n">
        <v>46296</v>
      </c>
      <c r="K6" s="193" t="n">
        <v>46843</v>
      </c>
      <c r="L6" s="193" t="n">
        <v>46843</v>
      </c>
    </row>
    <row r="7" ht="23.25" customHeight="1">
      <c r="A7" s="191" t="n"/>
      <c r="B7" s="45" t="n">
        <v>1.2</v>
      </c>
      <c r="C7" s="46" t="n"/>
      <c r="D7" s="192" t="n">
        <v>0</v>
      </c>
      <c r="E7" s="48" t="n"/>
      <c r="F7" s="48" t="n"/>
      <c r="G7" s="46" t="n"/>
      <c r="H7" s="46" t="n"/>
      <c r="I7" s="46" t="n"/>
      <c r="J7" s="194" t="n"/>
      <c r="K7" s="194" t="n"/>
      <c r="L7" s="194" t="n"/>
    </row>
    <row r="8" ht="23.25" customHeight="1">
      <c r="A8" s="191" t="n"/>
      <c r="B8" s="45" t="n">
        <v>1.3</v>
      </c>
      <c r="C8" s="46" t="n"/>
      <c r="D8" s="192" t="n">
        <v>0</v>
      </c>
      <c r="E8" s="48" t="n"/>
      <c r="F8" s="48" t="n"/>
      <c r="G8" s="46" t="n"/>
      <c r="H8" s="46" t="n"/>
      <c r="I8" s="46" t="n"/>
      <c r="J8" s="194" t="n"/>
      <c r="K8" s="194" t="n"/>
      <c r="L8" s="194" t="n"/>
    </row>
    <row r="9" ht="23.25" customHeight="1">
      <c r="A9" s="191" t="n"/>
      <c r="B9" s="45" t="n">
        <v>1.4</v>
      </c>
      <c r="C9" s="46" t="n"/>
      <c r="D9" s="192" t="n">
        <v>0</v>
      </c>
      <c r="E9" s="48" t="n"/>
      <c r="F9" s="48" t="n"/>
      <c r="G9" s="46" t="n"/>
      <c r="H9" s="46" t="n"/>
      <c r="I9" s="46" t="n"/>
      <c r="J9" s="194" t="n"/>
      <c r="K9" s="194" t="n"/>
      <c r="L9" s="194" t="n"/>
    </row>
    <row r="10" ht="23.25" customHeight="1">
      <c r="A10" s="191" t="n"/>
      <c r="B10" s="45" t="n">
        <v>1.5</v>
      </c>
      <c r="C10" s="46" t="n"/>
      <c r="D10" s="192" t="n">
        <v>0</v>
      </c>
      <c r="E10" s="48" t="n"/>
      <c r="F10" s="48" t="n"/>
      <c r="G10" s="46" t="n"/>
      <c r="H10" s="46" t="n"/>
      <c r="I10" s="46" t="n"/>
      <c r="J10" s="194" t="n"/>
      <c r="K10" s="194" t="n"/>
      <c r="L10" s="194" t="n"/>
    </row>
    <row r="11" ht="23.25" customHeight="1">
      <c r="A11" s="191" t="n"/>
      <c r="B11" s="45" t="n">
        <v>1.6</v>
      </c>
      <c r="C11" s="46" t="n"/>
      <c r="D11" s="192" t="n">
        <v>0</v>
      </c>
      <c r="E11" s="48" t="n"/>
      <c r="F11" s="48" t="n"/>
      <c r="G11" s="46" t="n"/>
      <c r="H11" s="46" t="n"/>
      <c r="I11" s="46" t="n"/>
      <c r="J11" s="194" t="n"/>
      <c r="K11" s="194" t="n"/>
      <c r="L11" s="194" t="n"/>
    </row>
    <row r="12" ht="23.25" customHeight="1">
      <c r="A12" s="191" t="n"/>
      <c r="B12" s="45" t="n">
        <v>1.7</v>
      </c>
      <c r="C12" s="46" t="n"/>
      <c r="D12" s="192" t="n">
        <v>0</v>
      </c>
      <c r="E12" s="48" t="n"/>
      <c r="F12" s="48" t="n"/>
      <c r="G12" s="46" t="n"/>
      <c r="H12" s="46" t="n"/>
      <c r="I12" s="46" t="n"/>
      <c r="J12" s="194" t="n"/>
      <c r="K12" s="194" t="n"/>
      <c r="L12" s="194" t="n"/>
    </row>
    <row r="13" ht="23.25" customHeight="1">
      <c r="A13" s="191" t="n"/>
      <c r="B13" s="45" t="n">
        <v>1.8</v>
      </c>
      <c r="C13" s="46" t="n"/>
      <c r="D13" s="192" t="n">
        <v>0</v>
      </c>
      <c r="E13" s="48" t="n"/>
      <c r="F13" s="48" t="n"/>
      <c r="G13" s="46" t="n"/>
      <c r="H13" s="46" t="n"/>
      <c r="I13" s="46" t="n"/>
      <c r="J13" s="194" t="n"/>
      <c r="K13" s="194" t="n"/>
      <c r="L13" s="194" t="n"/>
    </row>
    <row r="14" ht="23.25" customHeight="1">
      <c r="A14" s="191" t="n"/>
      <c r="B14" s="45" t="n">
        <v>1.9</v>
      </c>
      <c r="C14" s="46" t="n"/>
      <c r="D14" s="192" t="n">
        <v>0</v>
      </c>
      <c r="E14" s="48" t="n"/>
      <c r="F14" s="48" t="n"/>
      <c r="G14" s="46" t="n"/>
      <c r="H14" s="46" t="n"/>
      <c r="I14" s="46" t="n"/>
      <c r="J14" s="194" t="n"/>
      <c r="K14" s="194" t="n"/>
      <c r="L14" s="194" t="n"/>
    </row>
    <row r="15" ht="23.25" customHeight="1">
      <c r="A15" s="191" t="n"/>
      <c r="B15" s="52" t="n">
        <v>1.1</v>
      </c>
      <c r="C15" s="46" t="n"/>
      <c r="D15" s="192" t="n">
        <v>0</v>
      </c>
      <c r="E15" s="48" t="n"/>
      <c r="F15" s="107" t="n"/>
      <c r="G15" s="53" t="n"/>
      <c r="H15" s="53" t="n"/>
      <c r="I15" s="53" t="n"/>
      <c r="J15" s="195" t="n"/>
      <c r="K15" s="195" t="n"/>
      <c r="L15" s="195" t="n"/>
    </row>
    <row r="16" ht="24" customHeight="1">
      <c r="A16" s="191" t="n"/>
      <c r="B16" s="38" t="n">
        <v>2</v>
      </c>
      <c r="C16" s="39" t="inlineStr">
        <is>
          <t>TA2: Orchestration Core and Experiment Design Engine</t>
        </is>
      </c>
      <c r="D16" s="188">
        <f>SUM(D17:D26)</f>
        <v/>
      </c>
      <c r="E16" s="41" t="n"/>
      <c r="F16" s="105" t="n"/>
      <c r="G16" s="42" t="n"/>
      <c r="H16" s="42" t="n"/>
      <c r="I16" s="42" t="n"/>
      <c r="J16" s="189" t="n"/>
      <c r="K16" s="189" t="n"/>
      <c r="L16" s="190" t="n"/>
    </row>
    <row r="17" ht="23.25" customHeight="1">
      <c r="A17" s="191" t="n"/>
      <c r="B17" s="45" t="n">
        <v>2.1</v>
      </c>
      <c r="C17" s="46" t="inlineStr">
        <is>
          <t>TA2: Orchestration Core and Experiment Design Engine</t>
        </is>
      </c>
      <c r="D17" s="192" t="n">
        <v>1800000</v>
      </c>
      <c r="E17" s="48" t="inlineStr">
        <is>
          <t>Prime (Purdue/IPAI): $900,000
Sub (Cytognosis): $700,000
Sub (SIFT — scoped VOI): $200,000</t>
        </is>
      </c>
      <c r="F17" s="106" t="inlineStr">
        <is>
          <t>Labor: $1,600,000
ODCs: $200,000</t>
        </is>
      </c>
      <c r="G17" s="49" t="inlineStr">
        <is>
          <t>Hypothesis tournament with adversarial critics grounded in mechanistic constraints. Mechanism-grounded RAP and value-of-information selection against TA1 uncertain parameters. ExperimentIntent schema and TA2-TA3 interface. SIFT scoped VOI planning/scheduling layer under IPAI+Cytognosis co-lead. DDD workshop (Month 3): one-semantic-foundation schema ratification (LinkML/Biolink). Lightweight simulation pre-screening of experiment designs. Consequential actions require human authorization.</t>
        </is>
      </c>
      <c r="H17" s="49" t="inlineStr">
        <is>
          <t>&gt;=50% engine-designed experiments rated high-value by expert panel. ExperimentIntent objects round-trip to TA3 schema by Month 12. DDD workshop outputs ratified Month 3.</t>
        </is>
      </c>
      <c r="I17" s="49" t="inlineStr">
        <is>
          <t>Operational experiment-design engine with TA2-TA3 interface (Unlimited Rights). DDD-ratified one-semantic-foundation schema (LinkML/Biolink, Apache-2.0).</t>
        </is>
      </c>
      <c r="J17" s="193" t="n">
        <v>46296</v>
      </c>
      <c r="K17" s="193" t="n">
        <v>46843</v>
      </c>
      <c r="L17" s="193" t="n">
        <v>46843</v>
      </c>
    </row>
    <row r="18" ht="23.25" customHeight="1">
      <c r="A18" s="191" t="n"/>
      <c r="B18" s="45" t="n">
        <v>2.2</v>
      </c>
      <c r="C18" s="46" t="n"/>
      <c r="D18" s="192" t="n">
        <v>0</v>
      </c>
      <c r="E18" s="48" t="n"/>
      <c r="F18" s="48" t="n"/>
      <c r="G18" s="46" t="n"/>
      <c r="H18" s="46" t="n"/>
      <c r="I18" s="46" t="n"/>
      <c r="J18" s="194" t="n"/>
      <c r="K18" s="194" t="n"/>
      <c r="L18" s="194" t="n"/>
    </row>
    <row r="19" ht="23.25" customHeight="1">
      <c r="A19" s="191" t="n"/>
      <c r="B19" s="45" t="n">
        <v>2.3</v>
      </c>
      <c r="C19" s="46" t="n"/>
      <c r="D19" s="192" t="n">
        <v>0</v>
      </c>
      <c r="E19" s="48" t="n"/>
      <c r="F19" s="48" t="n"/>
      <c r="G19" s="46" t="n"/>
      <c r="H19" s="46" t="n"/>
      <c r="I19" s="46" t="n"/>
      <c r="J19" s="194" t="n"/>
      <c r="K19" s="194" t="n"/>
      <c r="L19" s="194" t="n"/>
    </row>
    <row r="20" ht="23.25" customHeight="1">
      <c r="A20" s="191" t="n"/>
      <c r="B20" s="45" t="n">
        <v>2.4</v>
      </c>
      <c r="C20" s="46" t="n"/>
      <c r="D20" s="192" t="n">
        <v>0</v>
      </c>
      <c r="E20" s="48" t="n"/>
      <c r="F20" s="48" t="n"/>
      <c r="G20" s="46" t="n"/>
      <c r="H20" s="46" t="n"/>
      <c r="I20" s="46" t="n"/>
      <c r="J20" s="194" t="n"/>
      <c r="K20" s="194" t="n"/>
      <c r="L20" s="194" t="n"/>
    </row>
    <row r="21" ht="23.25" customHeight="1">
      <c r="A21" s="191" t="n"/>
      <c r="B21" s="45" t="n">
        <v>2.5</v>
      </c>
      <c r="C21" s="46" t="n"/>
      <c r="D21" s="192" t="n">
        <v>0</v>
      </c>
      <c r="E21" s="48" t="n"/>
      <c r="F21" s="48" t="n"/>
      <c r="G21" s="46" t="n"/>
      <c r="H21" s="46" t="n"/>
      <c r="I21" s="46" t="n"/>
      <c r="J21" s="194" t="n"/>
      <c r="K21" s="194" t="n"/>
      <c r="L21" s="194" t="n"/>
    </row>
    <row r="22" ht="23.25" customHeight="1">
      <c r="A22" s="191" t="n"/>
      <c r="B22" s="45" t="n">
        <v>2.6</v>
      </c>
      <c r="C22" s="46" t="n"/>
      <c r="D22" s="192" t="n">
        <v>0</v>
      </c>
      <c r="E22" s="48" t="n"/>
      <c r="F22" s="48" t="n"/>
      <c r="G22" s="46" t="n"/>
      <c r="H22" s="46" t="n"/>
      <c r="I22" s="46" t="n"/>
      <c r="J22" s="194" t="n"/>
      <c r="K22" s="194" t="n"/>
      <c r="L22" s="194" t="n"/>
    </row>
    <row r="23" ht="23.25" customHeight="1">
      <c r="A23" s="191" t="n"/>
      <c r="B23" s="45" t="n">
        <v>2.7</v>
      </c>
      <c r="C23" s="46" t="n"/>
      <c r="D23" s="192" t="n">
        <v>0</v>
      </c>
      <c r="E23" s="48" t="n"/>
      <c r="F23" s="48" t="n"/>
      <c r="G23" s="46" t="n"/>
      <c r="H23" s="46" t="n"/>
      <c r="I23" s="46" t="n"/>
      <c r="J23" s="194" t="n"/>
      <c r="K23" s="194" t="n"/>
      <c r="L23" s="194" t="n"/>
    </row>
    <row r="24" ht="23.25" customHeight="1">
      <c r="A24" s="191" t="n"/>
      <c r="B24" s="45" t="n">
        <v>2.8</v>
      </c>
      <c r="C24" s="46" t="n"/>
      <c r="D24" s="192" t="n">
        <v>0</v>
      </c>
      <c r="E24" s="48" t="n"/>
      <c r="F24" s="48" t="n"/>
      <c r="G24" s="46" t="n"/>
      <c r="H24" s="46" t="n"/>
      <c r="I24" s="46" t="n"/>
      <c r="J24" s="194" t="n"/>
      <c r="K24" s="194" t="n"/>
      <c r="L24" s="194" t="n"/>
    </row>
    <row r="25" ht="23.25" customHeight="1">
      <c r="A25" s="191" t="n"/>
      <c r="B25" s="45" t="n">
        <v>2.9</v>
      </c>
      <c r="C25" s="46" t="n"/>
      <c r="D25" s="192" t="n">
        <v>0</v>
      </c>
      <c r="E25" s="48" t="n"/>
      <c r="F25" s="48" t="n"/>
      <c r="G25" s="46" t="n"/>
      <c r="H25" s="46" t="n"/>
      <c r="I25" s="46" t="n"/>
      <c r="J25" s="194" t="n"/>
      <c r="K25" s="194" t="n"/>
      <c r="L25" s="194" t="n"/>
    </row>
    <row r="26" ht="23.25" customHeight="1">
      <c r="A26" s="191" t="n"/>
      <c r="B26" s="52" t="n">
        <v>2.1</v>
      </c>
      <c r="C26" s="46" t="n"/>
      <c r="D26" s="192" t="n">
        <v>0</v>
      </c>
      <c r="E26" s="48" t="n"/>
      <c r="F26" s="48" t="n"/>
      <c r="G26" s="46" t="n"/>
      <c r="H26" s="46" t="n"/>
      <c r="I26" s="46" t="n"/>
      <c r="J26" s="194" t="n"/>
      <c r="K26" s="194" t="n"/>
      <c r="L26" s="194" t="n"/>
    </row>
    <row r="27" ht="23.25" customHeight="1">
      <c r="A27" s="191" t="n"/>
      <c r="B27" s="38" t="n">
        <v>3</v>
      </c>
      <c r="C27" s="39" t="inlineStr">
        <is>
          <t>TA3: Protocol Schema and Calibration Artifacts (Version 1)</t>
        </is>
      </c>
      <c r="D27" s="196">
        <f>SUM(D28:D37)</f>
        <v/>
      </c>
      <c r="E27" s="41" t="n"/>
      <c r="F27" s="105" t="n"/>
      <c r="G27" s="42" t="n"/>
      <c r="H27" s="42" t="n"/>
      <c r="I27" s="42" t="n"/>
      <c r="J27" s="189" t="n"/>
      <c r="K27" s="189" t="n"/>
      <c r="L27" s="190" t="n"/>
    </row>
    <row r="28" ht="23.25" customHeight="1">
      <c r="A28" s="191" t="n"/>
      <c r="B28" s="45" t="n">
        <v>3.1</v>
      </c>
      <c r="C28" s="46" t="inlineStr">
        <is>
          <t>TA3: Protocol Schema and Calibration Artifacts (Version 1)</t>
        </is>
      </c>
      <c r="D28" s="192" t="n">
        <v>2000000</v>
      </c>
      <c r="E28" s="48" t="inlineStr">
        <is>
          <t>Sub (SIFT): $2,000,000</t>
        </is>
      </c>
      <c r="F28" s="48" t="inlineStr">
        <is>
          <t>Labor: $1,800,000
Travel: $60,000
ODCs: $140,000</t>
        </is>
      </c>
      <c r="G28" s="46" t="inlineStr">
        <is>
          <t>Four-layer protocol stack on LabOP (intent / process / calibration / hardware). LabCapabilityProfile schema and SiLA 2 hardware integration (Juchli 2022). LabOP extensions from synthetic to perturbation biology (3 phases: cellular model, perturbation, readout) each with QC gates. RFC governance framework. IV&amp;V reference artifacts and bake-off infrastructure. ~2-3 SIFT FTE (LabOP co-authors); DARPA SD2 / XPlan / PROV-O lineage. One LinkML/Biolink foundation with Python and RDF generated from one source.</t>
        </is>
      </c>
      <c r="H28" s="46" t="inlineStr">
        <is>
          <t>LabOP v1 stack executes at &gt;=2 labs by Month 15. &gt;=1 full TA2-&gt;TA3-&gt;TA4-&gt;TA1 round-trip by Month 18. DDD one-semantic-foundation ratified Month 3.</t>
        </is>
      </c>
      <c r="I28" s="46" t="inlineStr">
        <is>
          <t>LabOP v1 protocol-stack release (Apache-2.0). LabCapabilityProfile v1 schema. DDD workshop outputs. IV&amp;V bake-off #1 report.</t>
        </is>
      </c>
      <c r="J28" s="194" t="n">
        <v>46296</v>
      </c>
      <c r="K28" s="194" t="n">
        <v>46843</v>
      </c>
      <c r="L28" s="194" t="n">
        <v>46843</v>
      </c>
    </row>
    <row r="29" ht="23.25" customHeight="1">
      <c r="A29" s="191" t="n"/>
      <c r="B29" s="45" t="n">
        <v>3.2</v>
      </c>
      <c r="C29" s="46" t="n"/>
      <c r="D29" s="192" t="n">
        <v>0</v>
      </c>
      <c r="E29" s="48" t="n"/>
      <c r="F29" s="48" t="n"/>
      <c r="G29" s="46" t="n"/>
      <c r="H29" s="46" t="n"/>
      <c r="I29" s="46" t="n"/>
      <c r="J29" s="194" t="n"/>
      <c r="K29" s="194" t="n"/>
      <c r="L29" s="194" t="n"/>
    </row>
    <row r="30" ht="23.25" customHeight="1">
      <c r="A30" s="191" t="n"/>
      <c r="B30" s="45" t="n">
        <v>3.3</v>
      </c>
      <c r="C30" s="46" t="n"/>
      <c r="D30" s="192" t="n">
        <v>0</v>
      </c>
      <c r="E30" s="48" t="n"/>
      <c r="F30" s="48" t="n"/>
      <c r="G30" s="46" t="n"/>
      <c r="H30" s="46" t="n"/>
      <c r="I30" s="46" t="n"/>
      <c r="J30" s="194" t="n"/>
      <c r="K30" s="194" t="n"/>
      <c r="L30" s="194" t="n"/>
    </row>
    <row r="31" ht="23.25" customHeight="1">
      <c r="A31" s="191" t="n"/>
      <c r="B31" s="45" t="n">
        <v>3.4</v>
      </c>
      <c r="C31" s="46" t="n"/>
      <c r="D31" s="192" t="n">
        <v>0</v>
      </c>
      <c r="E31" s="48" t="n"/>
      <c r="F31" s="48" t="n"/>
      <c r="G31" s="46" t="n"/>
      <c r="H31" s="46" t="n"/>
      <c r="I31" s="46" t="n"/>
      <c r="J31" s="194" t="n"/>
      <c r="K31" s="194" t="n"/>
      <c r="L31" s="194" t="n"/>
    </row>
    <row r="32" ht="23.25" customHeight="1">
      <c r="A32" s="191" t="n"/>
      <c r="B32" s="45" t="n">
        <v>3.5</v>
      </c>
      <c r="C32" s="46" t="n"/>
      <c r="D32" s="192" t="n">
        <v>0</v>
      </c>
      <c r="E32" s="48" t="n"/>
      <c r="F32" s="48" t="n"/>
      <c r="G32" s="46" t="n"/>
      <c r="H32" s="46" t="n"/>
      <c r="I32" s="46" t="n"/>
      <c r="J32" s="194" t="n"/>
      <c r="K32" s="194" t="n"/>
      <c r="L32" s="194" t="n"/>
    </row>
    <row r="33" ht="23.25" customHeight="1">
      <c r="A33" s="191" t="n"/>
      <c r="B33" s="45" t="n">
        <v>3.6</v>
      </c>
      <c r="C33" s="46" t="n"/>
      <c r="D33" s="192" t="n">
        <v>0</v>
      </c>
      <c r="E33" s="48" t="n"/>
      <c r="F33" s="48" t="n"/>
      <c r="G33" s="46" t="n"/>
      <c r="H33" s="46" t="n"/>
      <c r="I33" s="46" t="n"/>
      <c r="J33" s="194" t="n"/>
      <c r="K33" s="194" t="n"/>
      <c r="L33" s="194" t="n"/>
    </row>
    <row r="34" ht="23.25" customHeight="1">
      <c r="A34" s="191" t="n"/>
      <c r="B34" s="45" t="n">
        <v>3.7</v>
      </c>
      <c r="C34" s="46" t="n"/>
      <c r="D34" s="192" t="n">
        <v>0</v>
      </c>
      <c r="E34" s="48" t="n"/>
      <c r="F34" s="48" t="n"/>
      <c r="G34" s="46" t="n"/>
      <c r="H34" s="46" t="n"/>
      <c r="I34" s="46" t="n"/>
      <c r="J34" s="194" t="n"/>
      <c r="K34" s="194" t="n"/>
      <c r="L34" s="194" t="n"/>
    </row>
    <row r="35" ht="23.25" customHeight="1">
      <c r="A35" s="191" t="n"/>
      <c r="B35" s="45" t="n">
        <v>3.8</v>
      </c>
      <c r="C35" s="46" t="n"/>
      <c r="D35" s="192" t="n">
        <v>0</v>
      </c>
      <c r="E35" s="48" t="n"/>
      <c r="F35" s="48" t="n"/>
      <c r="G35" s="46" t="n"/>
      <c r="H35" s="46" t="n"/>
      <c r="I35" s="46" t="n"/>
      <c r="J35" s="194" t="n"/>
      <c r="K35" s="194" t="n"/>
      <c r="L35" s="194" t="n"/>
    </row>
    <row r="36" ht="23.25" customHeight="1">
      <c r="A36" s="191" t="n"/>
      <c r="B36" s="45" t="n">
        <v>3.9</v>
      </c>
      <c r="C36" s="46" t="n"/>
      <c r="D36" s="192" t="n">
        <v>0</v>
      </c>
      <c r="E36" s="48" t="n"/>
      <c r="F36" s="48" t="n"/>
      <c r="G36" s="46" t="n"/>
      <c r="H36" s="46" t="n"/>
      <c r="I36" s="46" t="n"/>
      <c r="J36" s="194" t="n"/>
      <c r="K36" s="194" t="n"/>
      <c r="L36" s="194" t="n"/>
    </row>
    <row r="37" ht="23.25" customHeight="1">
      <c r="A37" s="191" t="n"/>
      <c r="B37" s="52" t="n">
        <v>3.1</v>
      </c>
      <c r="C37" s="46" t="n"/>
      <c r="D37" s="192" t="n">
        <v>0</v>
      </c>
      <c r="E37" s="48" t="n"/>
      <c r="F37" s="48" t="n"/>
      <c r="G37" s="46" t="n"/>
      <c r="H37" s="46" t="n"/>
      <c r="I37" s="46" t="n"/>
      <c r="J37" s="194" t="n"/>
      <c r="K37" s="194" t="n"/>
      <c r="L37" s="194" t="n"/>
    </row>
    <row r="38" ht="23.25" customHeight="1">
      <c r="A38" s="191" t="n"/>
      <c r="B38" s="38" t="n">
        <v>4</v>
      </c>
      <c r="C38" s="39" t="inlineStr">
        <is>
          <t>TA4: Intra-Team Cell Line and Instrument Validation</t>
        </is>
      </c>
      <c r="D38" s="196">
        <f>SUM(D39:D48)</f>
        <v/>
      </c>
      <c r="E38" s="41" t="n"/>
      <c r="F38" s="105" t="n"/>
      <c r="G38" s="42" t="n"/>
      <c r="H38" s="42" t="n"/>
      <c r="I38" s="42" t="n"/>
      <c r="J38" s="189" t="n"/>
      <c r="K38" s="189" t="n"/>
      <c r="L38" s="190" t="n"/>
    </row>
    <row r="39" ht="23.25" customHeight="1">
      <c r="A39" s="191" t="n"/>
      <c r="B39" s="45" t="n">
        <v>4.1</v>
      </c>
      <c r="C39" s="46" t="inlineStr">
        <is>
          <t>TA4: Intra-Team Cell Line and Instrument Validation</t>
        </is>
      </c>
      <c r="D39" s="192" t="n">
        <v>3400000</v>
      </c>
      <c r="E39" s="48" t="inlineStr">
        <is>
          <t>Sub (Purdue Tegtmeyer): $2,000,000
Sub (Cellanome): $1,400,000</t>
        </is>
      </c>
      <c r="F39" s="48" t="inlineStr">
        <is>
          <t>Labor: $1,200,000
Equipment: $1,400,000
Materials: $500,000
ODCs (sequencing/reagents): $300,000</t>
        </is>
      </c>
      <c r="G39" s="46" t="inlineStr">
        <is>
          <t>Purdue academic arm: iPSC-NGN2 neuron 22q11.2 anchor-line + Cell Painting validation. Phase I equipment stand-up (~$1.4M): high-content imager, spinning-disk confocal with calcium-imaging rig, liquid handlers, core cell-culture instruments. Cellanome industry arm: live-cell imaging + single-cell calcium imaging (NOT MEA) validation on R3200. Illumina sequencing validation (optional in-kind). Two-arm concordance design (fixed-cell high-plex vs live-cell temporal).</t>
        </is>
      </c>
      <c r="H39" s="46" t="inlineStr">
        <is>
          <t>22q11.2 + &gt;=2 SCHEMA/BD isogenic iPSC-NGN2 line panel validated. Cell Painting + calcium-imaging protocols pass QC gates. &gt;=80% cross-arm concordance by Month 18.</t>
        </is>
      </c>
      <c r="I39" s="46" t="inlineStr">
        <is>
          <t>Validated iPSC-neuron line panel. Equipment commissioned + QC-certified. Two-arm concordance report. TA4-&gt;TA1 data-return interface v1 operational.</t>
        </is>
      </c>
      <c r="J39" s="194" t="n">
        <v>46296</v>
      </c>
      <c r="K39" s="194" t="n">
        <v>46843</v>
      </c>
      <c r="L39" s="194" t="n">
        <v>46843</v>
      </c>
    </row>
    <row r="40" ht="23.25" customHeight="1">
      <c r="A40" s="191" t="n"/>
      <c r="B40" s="45" t="n">
        <v>4.2</v>
      </c>
      <c r="C40" s="46" t="n"/>
      <c r="D40" s="192" t="n">
        <v>0</v>
      </c>
      <c r="E40" s="48" t="n"/>
      <c r="F40" s="48" t="n"/>
      <c r="G40" s="46" t="n"/>
      <c r="H40" s="46" t="n"/>
      <c r="I40" s="46" t="n"/>
      <c r="J40" s="194" t="n"/>
      <c r="K40" s="194" t="n"/>
      <c r="L40" s="194" t="n"/>
    </row>
    <row r="41" ht="23.25" customHeight="1">
      <c r="A41" s="191" t="n"/>
      <c r="B41" s="45" t="n">
        <v>4.3</v>
      </c>
      <c r="C41" s="46" t="n"/>
      <c r="D41" s="192" t="n">
        <v>0</v>
      </c>
      <c r="E41" s="48" t="n"/>
      <c r="F41" s="48" t="n"/>
      <c r="G41" s="46" t="n"/>
      <c r="H41" s="46" t="n"/>
      <c r="I41" s="46" t="n"/>
      <c r="J41" s="194" t="n"/>
      <c r="K41" s="194" t="n"/>
      <c r="L41" s="194" t="n"/>
    </row>
    <row r="42" ht="23.25" customHeight="1">
      <c r="A42" s="191" t="n"/>
      <c r="B42" s="45" t="n">
        <v>4.4</v>
      </c>
      <c r="C42" s="46" t="n"/>
      <c r="D42" s="192" t="n">
        <v>0</v>
      </c>
      <c r="E42" s="48" t="n"/>
      <c r="F42" s="48" t="n"/>
      <c r="G42" s="46" t="n"/>
      <c r="H42" s="46" t="n"/>
      <c r="I42" s="46" t="n"/>
      <c r="J42" s="194" t="n"/>
      <c r="K42" s="194" t="n"/>
      <c r="L42" s="194" t="n"/>
    </row>
    <row r="43" ht="23.25" customHeight="1">
      <c r="A43" s="191" t="n"/>
      <c r="B43" s="45" t="n">
        <v>4.5</v>
      </c>
      <c r="C43" s="46" t="n"/>
      <c r="D43" s="192" t="n">
        <v>0</v>
      </c>
      <c r="E43" s="48" t="n"/>
      <c r="F43" s="48" t="n"/>
      <c r="G43" s="46" t="n"/>
      <c r="H43" s="46" t="n"/>
      <c r="I43" s="46" t="n"/>
      <c r="J43" s="194" t="n"/>
      <c r="K43" s="194" t="n"/>
      <c r="L43" s="194" t="n"/>
    </row>
    <row r="44" ht="23.25" customHeight="1">
      <c r="A44" s="191" t="n"/>
      <c r="B44" s="45" t="n">
        <v>4.6</v>
      </c>
      <c r="C44" s="46" t="n"/>
      <c r="D44" s="192" t="n">
        <v>0</v>
      </c>
      <c r="E44" s="48" t="n"/>
      <c r="F44" s="48" t="n"/>
      <c r="G44" s="46" t="n"/>
      <c r="H44" s="46" t="n"/>
      <c r="I44" s="46" t="n"/>
      <c r="J44" s="194" t="n"/>
      <c r="K44" s="194" t="n"/>
      <c r="L44" s="194" t="n"/>
    </row>
    <row r="45" ht="23.25" customHeight="1">
      <c r="A45" s="191" t="n"/>
      <c r="B45" s="45" t="n">
        <v>4.7</v>
      </c>
      <c r="C45" s="46" t="n"/>
      <c r="D45" s="192" t="n">
        <v>0</v>
      </c>
      <c r="E45" s="48" t="n"/>
      <c r="F45" s="48" t="n"/>
      <c r="G45" s="46" t="n"/>
      <c r="H45" s="46" t="n"/>
      <c r="I45" s="46" t="n"/>
      <c r="J45" s="194" t="n"/>
      <c r="K45" s="194" t="n"/>
      <c r="L45" s="194" t="n"/>
    </row>
    <row r="46" ht="23.25" customHeight="1">
      <c r="A46" s="191" t="n"/>
      <c r="B46" s="45" t="n">
        <v>4.8</v>
      </c>
      <c r="C46" s="46" t="n"/>
      <c r="D46" s="192" t="n">
        <v>0</v>
      </c>
      <c r="E46" s="48" t="n"/>
      <c r="F46" s="48" t="n"/>
      <c r="G46" s="46" t="n"/>
      <c r="H46" s="46" t="n"/>
      <c r="I46" s="46" t="n"/>
      <c r="J46" s="194" t="n"/>
      <c r="K46" s="194" t="n"/>
      <c r="L46" s="194" t="n"/>
    </row>
    <row r="47" ht="23.25" customHeight="1">
      <c r="A47" s="191" t="n"/>
      <c r="B47" s="45" t="n">
        <v>4.9</v>
      </c>
      <c r="C47" s="46" t="n"/>
      <c r="D47" s="192" t="n">
        <v>0</v>
      </c>
      <c r="E47" s="48" t="n"/>
      <c r="F47" s="48" t="n"/>
      <c r="G47" s="46" t="n"/>
      <c r="H47" s="46" t="n"/>
      <c r="I47" s="46" t="n"/>
      <c r="J47" s="194" t="n"/>
      <c r="K47" s="194" t="n"/>
      <c r="L47" s="194" t="n"/>
    </row>
    <row r="48" ht="23.25" customHeight="1">
      <c r="A48" s="191" t="n"/>
      <c r="B48" s="52" t="n">
        <v>4.1</v>
      </c>
      <c r="C48" s="46" t="n"/>
      <c r="D48" s="192" t="n">
        <v>0</v>
      </c>
      <c r="E48" s="48" t="n"/>
      <c r="F48" s="48" t="n"/>
      <c r="G48" s="46" t="n"/>
      <c r="H48" s="46" t="n"/>
      <c r="I48" s="46" t="n"/>
      <c r="J48" s="194" t="n"/>
      <c r="K48" s="194" t="n"/>
      <c r="L48" s="194" t="n"/>
    </row>
    <row r="49" ht="23.25" customHeight="1">
      <c r="A49" s="191" t="n"/>
      <c r="B49" s="38" t="n">
        <v>5</v>
      </c>
      <c r="C49" s="39" t="inlineStr">
        <is>
          <t>Program Integration: Walking-Skeleton Closed Loop</t>
        </is>
      </c>
      <c r="D49" s="196">
        <f>SUM(D50:D59)</f>
        <v/>
      </c>
      <c r="E49" s="41" t="n"/>
      <c r="F49" s="105" t="n"/>
      <c r="G49" s="42" t="n"/>
      <c r="H49" s="42" t="n"/>
      <c r="I49" s="42" t="n"/>
      <c r="J49" s="189" t="n"/>
      <c r="K49" s="189" t="n"/>
      <c r="L49" s="190" t="n"/>
    </row>
    <row r="50" ht="23.25" customHeight="1">
      <c r="A50" s="191" t="n"/>
      <c r="B50" s="45" t="n">
        <v>5.1</v>
      </c>
      <c r="C50" s="46" t="inlineStr">
        <is>
          <t>Program Integration: Walking-Skeleton Closed Loop</t>
        </is>
      </c>
      <c r="D50" s="192" t="n">
        <v>700000</v>
      </c>
      <c r="E50" s="48" t="inlineStr">
        <is>
          <t>Prime (Purdue/IPAI PM): $200,000
Sub (Cytognosis PM): $200,000
Cross-team integration/reserve: $300,000</t>
        </is>
      </c>
      <c r="F50" s="48" t="inlineStr">
        <is>
          <t>Labor (PM + PIs): $400,000
Travel: $140,000
ODCs: $160,000</t>
        </is>
      </c>
      <c r="G50" s="46" t="inlineStr">
        <is>
          <t>Integrate all four TAs into walking-skeleton closed loop: TA1 hypothesis -&gt; TA2 ExperimentIntent -&gt; TA3 LabOP protocol -&gt; TA4 execution -&gt; data return -&gt; TA1 update. DDD workshop (Month 3). Biannual IV&amp;V review. ARPA-H program management and reporting.</t>
        </is>
      </c>
      <c r="H50" s="46" t="inlineStr">
        <is>
          <t>&gt;=1 end-to-end closed-loop cycle by Month 18. Phase I ARPA-H progress reviews delivered on schedule.</t>
        </is>
      </c>
      <c r="I50" s="46" t="inlineStr">
        <is>
          <t>Walking-skeleton closed-loop demonstration report. DDD workshop outputs. Phase I IV&amp;V review deliverables.</t>
        </is>
      </c>
      <c r="J50" s="194" t="n">
        <v>46296</v>
      </c>
      <c r="K50" s="194" t="n">
        <v>46843</v>
      </c>
      <c r="L50" s="194" t="n">
        <v>46843</v>
      </c>
    </row>
    <row r="51" ht="23.25" customHeight="1">
      <c r="A51" s="191" t="n"/>
      <c r="B51" s="45" t="n">
        <v>5.2</v>
      </c>
      <c r="C51" s="46" t="n"/>
      <c r="D51" s="192" t="n">
        <v>0</v>
      </c>
      <c r="E51" s="48" t="n"/>
      <c r="F51" s="48" t="n"/>
      <c r="G51" s="46" t="n"/>
      <c r="H51" s="46" t="n"/>
      <c r="I51" s="46" t="n"/>
      <c r="J51" s="194" t="n"/>
      <c r="K51" s="194" t="n"/>
      <c r="L51" s="194" t="n"/>
    </row>
    <row r="52" ht="23.25" customHeight="1">
      <c r="A52" s="191" t="n"/>
      <c r="B52" s="45" t="n">
        <v>5.3</v>
      </c>
      <c r="C52" s="46" t="n"/>
      <c r="D52" s="192" t="n">
        <v>0</v>
      </c>
      <c r="E52" s="48" t="n"/>
      <c r="F52" s="48" t="n"/>
      <c r="G52" s="46" t="n"/>
      <c r="H52" s="46" t="n"/>
      <c r="I52" s="46" t="n"/>
      <c r="J52" s="194" t="n"/>
      <c r="K52" s="194" t="n"/>
      <c r="L52" s="194" t="n"/>
    </row>
    <row r="53" ht="23.25" customHeight="1">
      <c r="A53" s="191" t="n"/>
      <c r="B53" s="45" t="n">
        <v>5.4</v>
      </c>
      <c r="C53" s="46" t="n"/>
      <c r="D53" s="192" t="n">
        <v>0</v>
      </c>
      <c r="E53" s="48" t="n"/>
      <c r="F53" s="48" t="n"/>
      <c r="G53" s="46" t="n"/>
      <c r="H53" s="46" t="n"/>
      <c r="I53" s="46" t="n"/>
      <c r="J53" s="194" t="n"/>
      <c r="K53" s="194" t="n"/>
      <c r="L53" s="194" t="n"/>
    </row>
    <row r="54" ht="23.25" customHeight="1">
      <c r="A54" s="191" t="n"/>
      <c r="B54" s="45" t="n">
        <v>5.5</v>
      </c>
      <c r="C54" s="46" t="n"/>
      <c r="D54" s="192" t="n">
        <v>0</v>
      </c>
      <c r="E54" s="48" t="n"/>
      <c r="F54" s="48" t="n"/>
      <c r="G54" s="46" t="n"/>
      <c r="H54" s="46" t="n"/>
      <c r="I54" s="46" t="n"/>
      <c r="J54" s="194" t="n"/>
      <c r="K54" s="194" t="n"/>
      <c r="L54" s="194" t="n"/>
    </row>
    <row r="55" ht="23.25" customHeight="1">
      <c r="A55" s="191" t="n"/>
      <c r="B55" s="45" t="n">
        <v>5.6</v>
      </c>
      <c r="C55" s="46" t="n"/>
      <c r="D55" s="192" t="n">
        <v>0</v>
      </c>
      <c r="E55" s="48" t="n"/>
      <c r="F55" s="48" t="n"/>
      <c r="G55" s="46" t="n"/>
      <c r="H55" s="46" t="n"/>
      <c r="I55" s="46" t="n"/>
      <c r="J55" s="194" t="n"/>
      <c r="K55" s="194" t="n"/>
      <c r="L55" s="194" t="n"/>
    </row>
    <row r="56" ht="23.25" customHeight="1">
      <c r="A56" s="191" t="n"/>
      <c r="B56" s="45" t="n">
        <v>5.7</v>
      </c>
      <c r="C56" s="46" t="n"/>
      <c r="D56" s="192" t="n">
        <v>0</v>
      </c>
      <c r="E56" s="48" t="n"/>
      <c r="F56" s="48" t="n"/>
      <c r="G56" s="46" t="n"/>
      <c r="H56" s="46" t="n"/>
      <c r="I56" s="46" t="n"/>
      <c r="J56" s="194" t="n"/>
      <c r="K56" s="194" t="n"/>
      <c r="L56" s="194" t="n"/>
    </row>
    <row r="57" ht="23.25" customHeight="1">
      <c r="A57" s="191" t="n"/>
      <c r="B57" s="45" t="n">
        <v>5.8</v>
      </c>
      <c r="C57" s="46" t="n"/>
      <c r="D57" s="192" t="n">
        <v>0</v>
      </c>
      <c r="E57" s="48" t="n"/>
      <c r="F57" s="48" t="n"/>
      <c r="G57" s="46" t="n"/>
      <c r="H57" s="46" t="n"/>
      <c r="I57" s="46" t="n"/>
      <c r="J57" s="194" t="n"/>
      <c r="K57" s="194" t="n"/>
      <c r="L57" s="194" t="n"/>
    </row>
    <row r="58" ht="23.25" customHeight="1">
      <c r="A58" s="191" t="n"/>
      <c r="B58" s="45" t="n">
        <v>5.9</v>
      </c>
      <c r="C58" s="46" t="n"/>
      <c r="D58" s="192" t="n">
        <v>0</v>
      </c>
      <c r="E58" s="48" t="n"/>
      <c r="F58" s="48" t="n"/>
      <c r="G58" s="46" t="n"/>
      <c r="H58" s="46" t="n"/>
      <c r="I58" s="46" t="n"/>
      <c r="J58" s="194" t="n"/>
      <c r="K58" s="194" t="n"/>
      <c r="L58" s="194" t="n"/>
    </row>
    <row r="59" ht="23.25" customHeight="1">
      <c r="A59" s="197" t="n"/>
      <c r="B59" s="52" t="n">
        <v>5.1</v>
      </c>
      <c r="C59" s="46" t="n"/>
      <c r="D59" s="192" t="n">
        <v>0</v>
      </c>
      <c r="E59" s="48" t="n"/>
      <c r="F59" s="48" t="n"/>
      <c r="G59" s="46" t="n"/>
      <c r="H59" s="46" t="n"/>
      <c r="I59" s="46" t="n"/>
      <c r="J59" s="194" t="n"/>
      <c r="K59" s="194" t="n"/>
      <c r="L59" s="194" t="n"/>
    </row>
    <row r="60" ht="32.1" customHeight="1">
      <c r="A60" s="198" t="inlineStr">
        <is>
          <t>PHASE I TOTAL</t>
        </is>
      </c>
      <c r="B60" s="181" t="n"/>
      <c r="C60" s="178" t="n"/>
      <c r="D60" s="199" t="n"/>
      <c r="E60" s="200" t="n"/>
      <c r="F60" s="200" t="n"/>
      <c r="G60" s="133" t="n"/>
      <c r="H60" s="181" t="n"/>
      <c r="I60" s="181" t="n"/>
      <c r="J60" s="181" t="n"/>
      <c r="K60" s="181" t="n"/>
      <c r="L60" s="181" t="n"/>
    </row>
    <row r="61" ht="24" customHeight="1">
      <c r="A61" s="201" t="inlineStr">
        <is>
          <t>Phase II (18 month option)</t>
        </is>
      </c>
      <c r="B61" s="58" t="n">
        <v>1</v>
      </c>
      <c r="C61" s="59" t="inlineStr">
        <is>
          <t>TA1: Auto-Updating Mechanistic Model</t>
        </is>
      </c>
      <c r="D61" s="202">
        <f>SUM(D62:D71)</f>
        <v/>
      </c>
      <c r="E61" s="61" t="n"/>
      <c r="F61" s="108" t="n"/>
      <c r="G61" s="62" t="n"/>
      <c r="H61" s="62" t="n"/>
      <c r="I61" s="62" t="n"/>
      <c r="J61" s="203" t="n"/>
      <c r="K61" s="203" t="n"/>
      <c r="L61" s="204" t="n"/>
    </row>
    <row r="62" ht="23.25" customHeight="1">
      <c r="A62" s="191" t="n"/>
      <c r="B62" s="45" t="n">
        <v>1.1</v>
      </c>
      <c r="C62" s="46" t="inlineStr">
        <is>
          <t>TA1: Auto-Updating Mechanistic Model</t>
        </is>
      </c>
      <c r="D62" s="192" t="n">
        <v>3300000</v>
      </c>
      <c r="E62" s="48" t="inlineStr">
        <is>
          <t>Prime (Purdue/IPAI): $2,000,000
Sub (Cytognosis): $1,300,000</t>
        </is>
      </c>
      <c r="F62" s="48" t="inlineStr">
        <is>
          <t>Labor: $2,900,000
ODCs (compute): $400,000</t>
        </is>
      </c>
      <c r="G62" s="46" t="inlineStr">
        <is>
          <t>Automated ingestion pipeline with &lt;=24h update latency. Multi-scale model expansion (&gt;=5 sub-models across &gt;=2 scales). Novel prediction experimental confirmation pipeline. Bipolar disorder data integration begins. Model-card documentation per ARPA-H requirements.</t>
        </is>
      </c>
      <c r="H62" s="46" t="inlineStr">
        <is>
          <t>Model update latency &lt;=24h by Month 30. &gt;=1 novel TA1-nominated prediction confirmed experimentally by Month 36. Variance explained in 22q11DS shifts improved vs Phase I.</t>
        </is>
      </c>
      <c r="I62" s="46" t="inlineStr">
        <is>
          <t>Auto-updating TA1 model v2 release (Apache-2.0) with &gt;=5 sub-models. Model card. &gt;=1 confirmed novel prediction report.</t>
        </is>
      </c>
      <c r="J62" s="194" t="n">
        <v>46844</v>
      </c>
      <c r="K62" s="194" t="n">
        <v>47391</v>
      </c>
      <c r="L62" s="194" t="n">
        <v>47391</v>
      </c>
    </row>
    <row r="63" ht="23.25" customHeight="1">
      <c r="A63" s="191" t="n"/>
      <c r="B63" s="45" t="n">
        <v>1.2</v>
      </c>
      <c r="C63" s="46" t="n"/>
      <c r="D63" s="192" t="n">
        <v>0</v>
      </c>
      <c r="E63" s="48" t="n"/>
      <c r="F63" s="48" t="n"/>
      <c r="G63" s="46" t="n"/>
      <c r="H63" s="46" t="n"/>
      <c r="I63" s="46" t="n"/>
      <c r="J63" s="194" t="n"/>
      <c r="K63" s="194" t="n"/>
      <c r="L63" s="194" t="n"/>
    </row>
    <row r="64" ht="23.25" customHeight="1">
      <c r="A64" s="191" t="n"/>
      <c r="B64" s="45" t="n">
        <v>1.3</v>
      </c>
      <c r="C64" s="46" t="n"/>
      <c r="D64" s="192" t="n">
        <v>0</v>
      </c>
      <c r="E64" s="48" t="n"/>
      <c r="F64" s="48" t="n"/>
      <c r="G64" s="46" t="n"/>
      <c r="H64" s="46" t="n"/>
      <c r="I64" s="46" t="n"/>
      <c r="J64" s="194" t="n"/>
      <c r="K64" s="194" t="n"/>
      <c r="L64" s="194" t="n"/>
    </row>
    <row r="65" ht="23.25" customHeight="1">
      <c r="A65" s="191" t="n"/>
      <c r="B65" s="45" t="n">
        <v>1.4</v>
      </c>
      <c r="C65" s="46" t="n"/>
      <c r="D65" s="192" t="n">
        <v>0</v>
      </c>
      <c r="E65" s="48" t="n"/>
      <c r="F65" s="48" t="n"/>
      <c r="G65" s="46" t="n"/>
      <c r="H65" s="46" t="n"/>
      <c r="I65" s="46" t="n"/>
      <c r="J65" s="194" t="n"/>
      <c r="K65" s="194" t="n"/>
      <c r="L65" s="194" t="n"/>
    </row>
    <row r="66" ht="23.25" customHeight="1">
      <c r="A66" s="191" t="n"/>
      <c r="B66" s="45" t="n">
        <v>1.5</v>
      </c>
      <c r="C66" s="46" t="n"/>
      <c r="D66" s="192" t="n">
        <v>0</v>
      </c>
      <c r="E66" s="48" t="n"/>
      <c r="F66" s="48" t="n"/>
      <c r="G66" s="46" t="n"/>
      <c r="H66" s="46" t="n"/>
      <c r="I66" s="46" t="n"/>
      <c r="J66" s="194" t="n"/>
      <c r="K66" s="194" t="n"/>
      <c r="L66" s="194" t="n"/>
    </row>
    <row r="67" ht="23.25" customHeight="1">
      <c r="A67" s="191" t="n"/>
      <c r="B67" s="45" t="n">
        <v>1.6</v>
      </c>
      <c r="C67" s="46" t="n"/>
      <c r="D67" s="192" t="n">
        <v>0</v>
      </c>
      <c r="E67" s="48" t="n"/>
      <c r="F67" s="48" t="n"/>
      <c r="G67" s="46" t="n"/>
      <c r="H67" s="46" t="n"/>
      <c r="I67" s="46" t="n"/>
      <c r="J67" s="194" t="n"/>
      <c r="K67" s="194" t="n"/>
      <c r="L67" s="194" t="n"/>
    </row>
    <row r="68" ht="23.25" customHeight="1">
      <c r="A68" s="191" t="n"/>
      <c r="B68" s="45" t="n">
        <v>1.7</v>
      </c>
      <c r="C68" s="46" t="n"/>
      <c r="D68" s="192" t="n">
        <v>0</v>
      </c>
      <c r="E68" s="48" t="n"/>
      <c r="F68" s="48" t="n"/>
      <c r="G68" s="46" t="n"/>
      <c r="H68" s="46" t="n"/>
      <c r="I68" s="46" t="n"/>
      <c r="J68" s="194" t="n"/>
      <c r="K68" s="194" t="n"/>
      <c r="L68" s="194" t="n"/>
    </row>
    <row r="69" ht="23.25" customHeight="1">
      <c r="A69" s="191" t="n"/>
      <c r="B69" s="45" t="n">
        <v>1.8</v>
      </c>
      <c r="C69" s="46" t="n"/>
      <c r="D69" s="192" t="n">
        <v>0</v>
      </c>
      <c r="E69" s="48" t="n"/>
      <c r="F69" s="48" t="n"/>
      <c r="G69" s="46" t="n"/>
      <c r="H69" s="46" t="n"/>
      <c r="I69" s="46" t="n"/>
      <c r="J69" s="194" t="n"/>
      <c r="K69" s="194" t="n"/>
      <c r="L69" s="194" t="n"/>
    </row>
    <row r="70" ht="23.25" customHeight="1">
      <c r="A70" s="191" t="n"/>
      <c r="B70" s="45" t="n">
        <v>1.9</v>
      </c>
      <c r="C70" s="46" t="n"/>
      <c r="D70" s="192" t="n">
        <v>0</v>
      </c>
      <c r="E70" s="48" t="n"/>
      <c r="F70" s="48" t="n"/>
      <c r="G70" s="46" t="n"/>
      <c r="H70" s="46" t="n"/>
      <c r="I70" s="46" t="n"/>
      <c r="J70" s="194" t="n"/>
      <c r="K70" s="194" t="n"/>
      <c r="L70" s="194" t="n"/>
    </row>
    <row r="71" ht="23.25" customHeight="1">
      <c r="A71" s="191" t="n"/>
      <c r="B71" s="52" t="n">
        <v>1.1</v>
      </c>
      <c r="C71" s="46" t="n"/>
      <c r="D71" s="192" t="n">
        <v>0</v>
      </c>
      <c r="E71" s="48" t="n"/>
      <c r="F71" s="48" t="n"/>
      <c r="G71" s="46" t="n"/>
      <c r="H71" s="46" t="n"/>
      <c r="I71" s="46" t="n"/>
      <c r="J71" s="194" t="n"/>
      <c r="K71" s="194" t="n"/>
      <c r="L71" s="194" t="n"/>
    </row>
    <row r="72" ht="24" customHeight="1">
      <c r="A72" s="191" t="n"/>
      <c r="B72" s="58" t="n">
        <v>2</v>
      </c>
      <c r="C72" s="59" t="inlineStr">
        <is>
          <t>TA2: Multi-Backend Deployment and Usability Study</t>
        </is>
      </c>
      <c r="D72" s="202">
        <f>SUM(D73:D82)</f>
        <v/>
      </c>
      <c r="E72" s="61" t="n"/>
      <c r="F72" s="108" t="n"/>
      <c r="G72" s="62" t="n"/>
      <c r="H72" s="62" t="n"/>
      <c r="I72" s="62" t="n"/>
      <c r="J72" s="203" t="n"/>
      <c r="K72" s="203" t="n"/>
      <c r="L72" s="204" t="n"/>
    </row>
    <row r="73" ht="23.25" customHeight="1">
      <c r="A73" s="191" t="n"/>
      <c r="B73" s="45" t="n">
        <v>2.1</v>
      </c>
      <c r="C73" s="46" t="inlineStr">
        <is>
          <t>TA2: Multi-Backend Deployment and Usability Study</t>
        </is>
      </c>
      <c r="D73" s="192" t="n">
        <v>2200000</v>
      </c>
      <c r="E73" s="48" t="inlineStr">
        <is>
          <t>Prime (Purdue/IPAI): $1,000,000
Sub (Cytognosis): $1,000,000
Sub (SIFT VOI): $200,000</t>
        </is>
      </c>
      <c r="F73" s="48" t="inlineStr">
        <is>
          <t>Labor: $1,900,000
ODCs: $300,000</t>
        </is>
      </c>
      <c r="G73" s="46" t="inlineStr">
        <is>
          <t>Open-weight model backend integration. Usability study with &gt;=10 domain scientists. Design-to-TA1-improvement feedback loop. &gt;=4x cycle-time reduction vs Phase I baseline. Engine explains reasoning; consequential actions require human authorization.</t>
        </is>
      </c>
      <c r="H73" s="46" t="inlineStr">
        <is>
          <t>&gt;=75% of engine experiments rated high-value by expert panel. &gt;=4x cycle-time reduction demonstrated by IV&amp;V. Usability study report complete (&gt;=10 domain scientists).</t>
        </is>
      </c>
      <c r="I73" s="46" t="inlineStr">
        <is>
          <t>Multi-backend TA2 deployment (open-source). Usability study report. &gt;=4x cycle-time milestone achieved and IV&amp;V-certified.</t>
        </is>
      </c>
      <c r="J73" s="194" t="n">
        <v>46844</v>
      </c>
      <c r="K73" s="194" t="n">
        <v>47391</v>
      </c>
      <c r="L73" s="194" t="n">
        <v>47391</v>
      </c>
    </row>
    <row r="74" ht="23.25" customHeight="1">
      <c r="A74" s="191" t="n"/>
      <c r="B74" s="45" t="n">
        <v>2.2</v>
      </c>
      <c r="C74" s="46" t="n"/>
      <c r="D74" s="192" t="n">
        <v>0</v>
      </c>
      <c r="E74" s="48" t="n"/>
      <c r="F74" s="48" t="n"/>
      <c r="G74" s="46" t="n"/>
      <c r="H74" s="46" t="n"/>
      <c r="I74" s="46" t="n"/>
      <c r="J74" s="194" t="n"/>
      <c r="K74" s="194" t="n"/>
      <c r="L74" s="194" t="n"/>
    </row>
    <row r="75" ht="23.25" customHeight="1">
      <c r="A75" s="191" t="n"/>
      <c r="B75" s="45" t="n">
        <v>2.3</v>
      </c>
      <c r="C75" s="46" t="n"/>
      <c r="D75" s="192" t="n">
        <v>0</v>
      </c>
      <c r="E75" s="48" t="n"/>
      <c r="F75" s="48" t="n"/>
      <c r="G75" s="46" t="n"/>
      <c r="H75" s="46" t="n"/>
      <c r="I75" s="46" t="n"/>
      <c r="J75" s="194" t="n"/>
      <c r="K75" s="194" t="n"/>
      <c r="L75" s="194" t="n"/>
    </row>
    <row r="76" ht="23.25" customHeight="1">
      <c r="A76" s="191" t="n"/>
      <c r="B76" s="45" t="n">
        <v>2.4</v>
      </c>
      <c r="C76" s="46" t="n"/>
      <c r="D76" s="192" t="n">
        <v>0</v>
      </c>
      <c r="E76" s="48" t="n"/>
      <c r="F76" s="48" t="n"/>
      <c r="G76" s="46" t="n"/>
      <c r="H76" s="46" t="n"/>
      <c r="I76" s="46" t="n"/>
      <c r="J76" s="194" t="n"/>
      <c r="K76" s="194" t="n"/>
      <c r="L76" s="194" t="n"/>
    </row>
    <row r="77" ht="23.25" customHeight="1">
      <c r="A77" s="191" t="n"/>
      <c r="B77" s="45" t="n">
        <v>2.5</v>
      </c>
      <c r="C77" s="46" t="n"/>
      <c r="D77" s="192" t="n">
        <v>0</v>
      </c>
      <c r="E77" s="48" t="n"/>
      <c r="F77" s="48" t="n"/>
      <c r="G77" s="46" t="n"/>
      <c r="H77" s="46" t="n"/>
      <c r="I77" s="46" t="n"/>
      <c r="J77" s="194" t="n"/>
      <c r="K77" s="194" t="n"/>
      <c r="L77" s="194" t="n"/>
    </row>
    <row r="78" ht="23.25" customHeight="1">
      <c r="A78" s="191" t="n"/>
      <c r="B78" s="45" t="n">
        <v>2.6</v>
      </c>
      <c r="C78" s="46" t="n"/>
      <c r="D78" s="192" t="n">
        <v>0</v>
      </c>
      <c r="E78" s="48" t="n"/>
      <c r="F78" s="48" t="n"/>
      <c r="G78" s="46" t="n"/>
      <c r="H78" s="46" t="n"/>
      <c r="I78" s="46" t="n"/>
      <c r="J78" s="194" t="n"/>
      <c r="K78" s="194" t="n"/>
      <c r="L78" s="194" t="n"/>
    </row>
    <row r="79" ht="23.25" customHeight="1">
      <c r="A79" s="191" t="n"/>
      <c r="B79" s="45" t="n">
        <v>2.7</v>
      </c>
      <c r="C79" s="46" t="n"/>
      <c r="D79" s="192" t="n">
        <v>0</v>
      </c>
      <c r="E79" s="48" t="n"/>
      <c r="F79" s="48" t="n"/>
      <c r="G79" s="46" t="n"/>
      <c r="H79" s="46" t="n"/>
      <c r="I79" s="46" t="n"/>
      <c r="J79" s="194" t="n"/>
      <c r="K79" s="194" t="n"/>
      <c r="L79" s="194" t="n"/>
    </row>
    <row r="80" ht="23.25" customHeight="1">
      <c r="A80" s="191" t="n"/>
      <c r="B80" s="45" t="n">
        <v>2.8</v>
      </c>
      <c r="C80" s="46" t="n"/>
      <c r="D80" s="192" t="n">
        <v>0</v>
      </c>
      <c r="E80" s="48" t="n"/>
      <c r="F80" s="48" t="n"/>
      <c r="G80" s="46" t="n"/>
      <c r="H80" s="46" t="n"/>
      <c r="I80" s="46" t="n"/>
      <c r="J80" s="194" t="n"/>
      <c r="K80" s="194" t="n"/>
      <c r="L80" s="194" t="n"/>
    </row>
    <row r="81" ht="23.25" customHeight="1">
      <c r="A81" s="191" t="n"/>
      <c r="B81" s="45" t="n">
        <v>2.9</v>
      </c>
      <c r="C81" s="46" t="n"/>
      <c r="D81" s="192" t="n">
        <v>0</v>
      </c>
      <c r="E81" s="48" t="n"/>
      <c r="F81" s="48" t="n"/>
      <c r="G81" s="46" t="n"/>
      <c r="H81" s="46" t="n"/>
      <c r="I81" s="46" t="n"/>
      <c r="J81" s="194" t="n"/>
      <c r="K81" s="194" t="n"/>
      <c r="L81" s="194" t="n"/>
    </row>
    <row r="82" ht="23.25" customHeight="1">
      <c r="A82" s="191" t="n"/>
      <c r="B82" s="52" t="n">
        <v>2.1</v>
      </c>
      <c r="C82" s="46" t="n"/>
      <c r="D82" s="192" t="n">
        <v>0</v>
      </c>
      <c r="E82" s="48" t="n"/>
      <c r="F82" s="48" t="n"/>
      <c r="G82" s="46" t="n"/>
      <c r="H82" s="46" t="n"/>
      <c r="I82" s="46" t="n"/>
      <c r="J82" s="194" t="n"/>
      <c r="K82" s="194" t="n"/>
      <c r="L82" s="194" t="n"/>
    </row>
    <row r="83" ht="23.25" customHeight="1">
      <c r="A83" s="191" t="n"/>
      <c r="B83" s="58" t="n">
        <v>3</v>
      </c>
      <c r="C83" s="59" t="inlineStr">
        <is>
          <t>TA3: RFC Governance and Cross-Team Protocol Execution</t>
        </is>
      </c>
      <c r="D83" s="202">
        <f>SUM(D84:D93)</f>
        <v/>
      </c>
      <c r="E83" s="61" t="n"/>
      <c r="F83" s="108" t="n"/>
      <c r="G83" s="62" t="n"/>
      <c r="H83" s="62" t="n"/>
      <c r="I83" s="62" t="n"/>
      <c r="J83" s="203" t="n"/>
      <c r="K83" s="203" t="n"/>
      <c r="L83" s="204" t="n"/>
    </row>
    <row r="84" ht="23.25" customHeight="1">
      <c r="A84" s="191" t="n"/>
      <c r="B84" s="45" t="n">
        <v>3.1</v>
      </c>
      <c r="C84" s="46" t="inlineStr">
        <is>
          <t>TA3: RFC Governance and Cross-Team Protocol Execution</t>
        </is>
      </c>
      <c r="D84" s="192" t="n">
        <v>2200000</v>
      </c>
      <c r="E84" s="48" t="inlineStr">
        <is>
          <t>Sub (SIFT): $2,200,000</t>
        </is>
      </c>
      <c r="F84" s="48" t="inlineStr">
        <is>
          <t>Labor: $1,900,000
Travel: $70,000
ODCs: $230,000</t>
        </is>
      </c>
      <c r="G84" s="46" t="inlineStr">
        <is>
          <t>RFC process operationalized; first two RFCs ratified. Cross-team protocol execution at &gt;=3 laboratories. Protocol bake-off #2. TA3 v2 stack release with evidence-based parameter governance. PROV-O provenance records for all executions.</t>
        </is>
      </c>
      <c r="H84" s="46" t="inlineStr">
        <is>
          <t>&gt;=2 RFCs ratified. Cross-team protocol reproducibility &gt;=90% at &gt;=3 labs by Month 36.</t>
        </is>
      </c>
      <c r="I84" s="46" t="inlineStr">
        <is>
          <t>TA3 v2 stack (Apache-2.0). RFC governance charter + &gt;=2 ratified RFCs. Cross-team protocol execution report.</t>
        </is>
      </c>
      <c r="J84" s="194" t="n">
        <v>46844</v>
      </c>
      <c r="K84" s="194" t="n">
        <v>47391</v>
      </c>
      <c r="L84" s="194" t="n">
        <v>47391</v>
      </c>
    </row>
    <row r="85" ht="23.25" customHeight="1">
      <c r="A85" s="191" t="n"/>
      <c r="B85" s="45" t="n">
        <v>3.2</v>
      </c>
      <c r="C85" s="46" t="n"/>
      <c r="D85" s="192" t="n">
        <v>0</v>
      </c>
      <c r="E85" s="48" t="n"/>
      <c r="F85" s="48" t="n"/>
      <c r="G85" s="46" t="n"/>
      <c r="H85" s="46" t="n"/>
      <c r="I85" s="46" t="n"/>
      <c r="J85" s="194" t="n"/>
      <c r="K85" s="194" t="n"/>
      <c r="L85" s="194" t="n"/>
    </row>
    <row r="86" ht="23.25" customHeight="1">
      <c r="A86" s="191" t="n"/>
      <c r="B86" s="45" t="n">
        <v>3.3</v>
      </c>
      <c r="C86" s="46" t="n"/>
      <c r="D86" s="192" t="n">
        <v>0</v>
      </c>
      <c r="E86" s="48" t="n"/>
      <c r="F86" s="48" t="n"/>
      <c r="G86" s="46" t="n"/>
      <c r="H86" s="46" t="n"/>
      <c r="I86" s="46" t="n"/>
      <c r="J86" s="194" t="n"/>
      <c r="K86" s="194" t="n"/>
      <c r="L86" s="194" t="n"/>
    </row>
    <row r="87" ht="23.25" customHeight="1">
      <c r="A87" s="191" t="n"/>
      <c r="B87" s="45" t="n">
        <v>3.4</v>
      </c>
      <c r="C87" s="46" t="n"/>
      <c r="D87" s="192" t="n">
        <v>0</v>
      </c>
      <c r="E87" s="48" t="n"/>
      <c r="F87" s="48" t="n"/>
      <c r="G87" s="46" t="n"/>
      <c r="H87" s="46" t="n"/>
      <c r="I87" s="46" t="n"/>
      <c r="J87" s="194" t="n"/>
      <c r="K87" s="194" t="n"/>
      <c r="L87" s="194" t="n"/>
    </row>
    <row r="88" ht="23.25" customHeight="1">
      <c r="A88" s="191" t="n"/>
      <c r="B88" s="45" t="n">
        <v>3.5</v>
      </c>
      <c r="C88" s="46" t="n"/>
      <c r="D88" s="192" t="n">
        <v>0</v>
      </c>
      <c r="E88" s="48" t="n"/>
      <c r="F88" s="48" t="n"/>
      <c r="G88" s="46" t="n"/>
      <c r="H88" s="46" t="n"/>
      <c r="I88" s="46" t="n"/>
      <c r="J88" s="194" t="n"/>
      <c r="K88" s="194" t="n"/>
      <c r="L88" s="194" t="n"/>
    </row>
    <row r="89" ht="23.25" customHeight="1">
      <c r="A89" s="191" t="n"/>
      <c r="B89" s="45" t="n">
        <v>3.6</v>
      </c>
      <c r="C89" s="46" t="n"/>
      <c r="D89" s="192" t="n">
        <v>0</v>
      </c>
      <c r="E89" s="48" t="n"/>
      <c r="F89" s="48" t="n"/>
      <c r="G89" s="46" t="n"/>
      <c r="H89" s="46" t="n"/>
      <c r="I89" s="46" t="n"/>
      <c r="J89" s="194" t="n"/>
      <c r="K89" s="194" t="n"/>
      <c r="L89" s="194" t="n"/>
    </row>
    <row r="90" ht="23.25" customHeight="1">
      <c r="A90" s="191" t="n"/>
      <c r="B90" s="45" t="n">
        <v>3.7</v>
      </c>
      <c r="C90" s="46" t="n"/>
      <c r="D90" s="192" t="n">
        <v>0</v>
      </c>
      <c r="E90" s="48" t="n"/>
      <c r="F90" s="48" t="n"/>
      <c r="G90" s="46" t="n"/>
      <c r="H90" s="46" t="n"/>
      <c r="I90" s="46" t="n"/>
      <c r="J90" s="194" t="n"/>
      <c r="K90" s="194" t="n"/>
      <c r="L90" s="194" t="n"/>
    </row>
    <row r="91" ht="23.25" customHeight="1">
      <c r="A91" s="191" t="n"/>
      <c r="B91" s="45" t="n">
        <v>3.8</v>
      </c>
      <c r="C91" s="46" t="n"/>
      <c r="D91" s="192" t="n">
        <v>0</v>
      </c>
      <c r="E91" s="48" t="n"/>
      <c r="F91" s="48" t="n"/>
      <c r="G91" s="46" t="n"/>
      <c r="H91" s="46" t="n"/>
      <c r="I91" s="46" t="n"/>
      <c r="J91" s="194" t="n"/>
      <c r="K91" s="194" t="n"/>
      <c r="L91" s="194" t="n"/>
    </row>
    <row r="92" ht="23.25" customHeight="1">
      <c r="A92" s="191" t="n"/>
      <c r="B92" s="45" t="n">
        <v>3.9</v>
      </c>
      <c r="C92" s="46" t="n"/>
      <c r="D92" s="192" t="n">
        <v>0</v>
      </c>
      <c r="E92" s="48" t="n"/>
      <c r="F92" s="48" t="n"/>
      <c r="G92" s="46" t="n"/>
      <c r="H92" s="46" t="n"/>
      <c r="I92" s="46" t="n"/>
      <c r="J92" s="194" t="n"/>
      <c r="K92" s="194" t="n"/>
      <c r="L92" s="194" t="n"/>
    </row>
    <row r="93" ht="23.25" customHeight="1">
      <c r="A93" s="191" t="n"/>
      <c r="B93" s="52" t="n">
        <v>3.1</v>
      </c>
      <c r="C93" s="46" t="n"/>
      <c r="D93" s="192" t="n">
        <v>0</v>
      </c>
      <c r="E93" s="48" t="n"/>
      <c r="F93" s="48" t="n"/>
      <c r="G93" s="46" t="n"/>
      <c r="H93" s="46" t="n"/>
      <c r="I93" s="46" t="n"/>
      <c r="J93" s="194" t="n"/>
      <c r="K93" s="194" t="n"/>
      <c r="L93" s="194" t="n"/>
    </row>
    <row r="94" ht="23.25" customHeight="1">
      <c r="A94" s="191" t="n"/>
      <c r="B94" s="58" t="n">
        <v>4</v>
      </c>
      <c r="C94" s="59" t="inlineStr">
        <is>
          <t>TA4: Cross-Team Marketplace Interface and Concordance</t>
        </is>
      </c>
      <c r="D94" s="202">
        <f>SUM(D95:D104)</f>
        <v/>
      </c>
      <c r="E94" s="61" t="n"/>
      <c r="F94" s="108" t="n"/>
      <c r="G94" s="62" t="n"/>
      <c r="H94" s="62" t="n"/>
      <c r="I94" s="62" t="n"/>
      <c r="J94" s="203" t="n"/>
      <c r="K94" s="203" t="n"/>
      <c r="L94" s="204" t="n"/>
    </row>
    <row r="95" ht="23.25" customHeight="1">
      <c r="A95" s="191" t="n"/>
      <c r="B95" s="45" t="n">
        <v>4.1</v>
      </c>
      <c r="C95" s="46" t="inlineStr">
        <is>
          <t>TA4: Cross-Team Marketplace Interface and Concordance</t>
        </is>
      </c>
      <c r="D95" s="192" t="n">
        <v>2400000</v>
      </c>
      <c r="E95" s="48" t="inlineStr">
        <is>
          <t>Sub (Purdue Tegtmeyer): $1,700,000
Sub (Cellanome): $1,800,000
[Note: combined &gt;$2.4M due to rounding; adjust at C.4 workbook finalization]</t>
        </is>
      </c>
      <c r="F95" s="48" t="inlineStr">
        <is>
          <t>Labor: $1,600,000
Materials: $500,000
ODCs (sequencing): $300,000</t>
        </is>
      </c>
      <c r="G95" s="46" t="inlineStr">
        <is>
          <t>Marketplace request/return interface v1 deployed across academic (Purdue) and industry (Cellanome) arms. Stage 2 unbiased pooled Perturb-seq in prioritized lines (5-10 genes from Phase I triage). Cross-team concordance validation (&gt;=90%). Automated exception handling v1.</t>
        </is>
      </c>
      <c r="H95" s="46" t="inlineStr">
        <is>
          <t>&gt;=5 autonomous hypothesis cycles by Month 36. Cross-team concordance &gt;=90%. &gt;=1 novel Perturb-seq prediction nominated by TA1/TA2.</t>
        </is>
      </c>
      <c r="I95" s="46" t="inlineStr">
        <is>
          <t>Marketplace interface v1. Stage 2 Perturb-seq dataset (model-ready). Cross-team concordance report.</t>
        </is>
      </c>
      <c r="J95" s="194" t="n">
        <v>46844</v>
      </c>
      <c r="K95" s="194" t="n">
        <v>47391</v>
      </c>
      <c r="L95" s="194" t="n">
        <v>47391</v>
      </c>
    </row>
    <row r="96" ht="23.25" customHeight="1">
      <c r="A96" s="191" t="n"/>
      <c r="B96" s="45" t="n">
        <v>4.2</v>
      </c>
      <c r="C96" s="46" t="n"/>
      <c r="D96" s="192" t="n">
        <v>0</v>
      </c>
      <c r="E96" s="48" t="n"/>
      <c r="F96" s="48" t="n"/>
      <c r="G96" s="46" t="n"/>
      <c r="H96" s="46" t="n"/>
      <c r="I96" s="46" t="n"/>
      <c r="J96" s="194" t="n"/>
      <c r="K96" s="194" t="n"/>
      <c r="L96" s="194" t="n"/>
    </row>
    <row r="97" ht="23.25" customHeight="1">
      <c r="A97" s="191" t="n"/>
      <c r="B97" s="45" t="n">
        <v>4.3</v>
      </c>
      <c r="C97" s="46" t="n"/>
      <c r="D97" s="192" t="n">
        <v>0</v>
      </c>
      <c r="E97" s="48" t="n"/>
      <c r="F97" s="48" t="n"/>
      <c r="G97" s="46" t="n"/>
      <c r="H97" s="46" t="n"/>
      <c r="I97" s="46" t="n"/>
      <c r="J97" s="194" t="n"/>
      <c r="K97" s="194" t="n"/>
      <c r="L97" s="194" t="n"/>
    </row>
    <row r="98" ht="23.25" customHeight="1">
      <c r="A98" s="191" t="n"/>
      <c r="B98" s="45" t="n">
        <v>4.4</v>
      </c>
      <c r="C98" s="46" t="n"/>
      <c r="D98" s="192" t="n">
        <v>0</v>
      </c>
      <c r="E98" s="48" t="n"/>
      <c r="F98" s="48" t="n"/>
      <c r="G98" s="46" t="n"/>
      <c r="H98" s="46" t="n"/>
      <c r="I98" s="46" t="n"/>
      <c r="J98" s="194" t="n"/>
      <c r="K98" s="194" t="n"/>
      <c r="L98" s="194" t="n"/>
    </row>
    <row r="99" ht="23.25" customHeight="1">
      <c r="A99" s="191" t="n"/>
      <c r="B99" s="45" t="n">
        <v>4.5</v>
      </c>
      <c r="C99" s="46" t="n"/>
      <c r="D99" s="192" t="n">
        <v>0</v>
      </c>
      <c r="E99" s="48" t="n"/>
      <c r="F99" s="48" t="n"/>
      <c r="G99" s="46" t="n"/>
      <c r="H99" s="46" t="n"/>
      <c r="I99" s="46" t="n"/>
      <c r="J99" s="194" t="n"/>
      <c r="K99" s="194" t="n"/>
      <c r="L99" s="194" t="n"/>
    </row>
    <row r="100" ht="23.25" customHeight="1">
      <c r="A100" s="191" t="n"/>
      <c r="B100" s="45" t="n">
        <v>4.6</v>
      </c>
      <c r="C100" s="46" t="n"/>
      <c r="D100" s="192" t="n">
        <v>0</v>
      </c>
      <c r="E100" s="48" t="n"/>
      <c r="F100" s="48" t="n"/>
      <c r="G100" s="46" t="n"/>
      <c r="H100" s="46" t="n"/>
      <c r="I100" s="46" t="n"/>
      <c r="J100" s="194" t="n"/>
      <c r="K100" s="194" t="n"/>
      <c r="L100" s="194" t="n"/>
    </row>
    <row r="101" ht="23.25" customHeight="1">
      <c r="A101" s="191" t="n"/>
      <c r="B101" s="45" t="n">
        <v>4.7</v>
      </c>
      <c r="C101" s="46" t="n"/>
      <c r="D101" s="192" t="n">
        <v>0</v>
      </c>
      <c r="E101" s="48" t="n"/>
      <c r="F101" s="48" t="n"/>
      <c r="G101" s="46" t="n"/>
      <c r="H101" s="46" t="n"/>
      <c r="I101" s="46" t="n"/>
      <c r="J101" s="194" t="n"/>
      <c r="K101" s="194" t="n"/>
      <c r="L101" s="194" t="n"/>
    </row>
    <row r="102" ht="23.25" customHeight="1">
      <c r="A102" s="191" t="n"/>
      <c r="B102" s="45" t="n">
        <v>4.8</v>
      </c>
      <c r="C102" s="46" t="n"/>
      <c r="D102" s="192" t="n">
        <v>0</v>
      </c>
      <c r="E102" s="48" t="n"/>
      <c r="F102" s="48" t="n"/>
      <c r="G102" s="46" t="n"/>
      <c r="H102" s="46" t="n"/>
      <c r="I102" s="46" t="n"/>
      <c r="J102" s="194" t="n"/>
      <c r="K102" s="194" t="n"/>
      <c r="L102" s="194" t="n"/>
    </row>
    <row r="103" ht="23.25" customHeight="1">
      <c r="A103" s="191" t="n"/>
      <c r="B103" s="45" t="n">
        <v>4.9</v>
      </c>
      <c r="C103" s="46" t="n"/>
      <c r="D103" s="192" t="n">
        <v>0</v>
      </c>
      <c r="E103" s="48" t="n"/>
      <c r="F103" s="48" t="n"/>
      <c r="G103" s="46" t="n"/>
      <c r="H103" s="46" t="n"/>
      <c r="I103" s="46" t="n"/>
      <c r="J103" s="194" t="n"/>
      <c r="K103" s="194" t="n"/>
      <c r="L103" s="194" t="n"/>
    </row>
    <row r="104" ht="23.25" customHeight="1">
      <c r="A104" s="191" t="n"/>
      <c r="B104" s="52" t="n">
        <v>4.1</v>
      </c>
      <c r="C104" s="46" t="n"/>
      <c r="D104" s="192" t="n">
        <v>0</v>
      </c>
      <c r="E104" s="48" t="n"/>
      <c r="F104" s="48" t="n"/>
      <c r="G104" s="46" t="n"/>
      <c r="H104" s="46" t="n"/>
      <c r="I104" s="46" t="n"/>
      <c r="J104" s="194" t="n"/>
      <c r="K104" s="194" t="n"/>
      <c r="L104" s="194" t="n"/>
    </row>
    <row r="105" ht="23.25" customHeight="1">
      <c r="A105" s="191" t="n"/>
      <c r="B105" s="58" t="n">
        <v>5</v>
      </c>
      <c r="C105" s="59" t="inlineStr">
        <is>
          <t>Program Integration: Interoperability Gate and Cycle-Time Milestone</t>
        </is>
      </c>
      <c r="D105" s="202">
        <f>SUM(D106:D115)</f>
        <v/>
      </c>
      <c r="E105" s="61" t="n"/>
      <c r="F105" s="108" t="n"/>
      <c r="G105" s="62" t="n"/>
      <c r="H105" s="62" t="n"/>
      <c r="I105" s="62" t="n"/>
      <c r="J105" s="203" t="n"/>
      <c r="K105" s="203" t="n"/>
      <c r="L105" s="204" t="n"/>
    </row>
    <row r="106" ht="23.25" customHeight="1">
      <c r="A106" s="191" t="n"/>
      <c r="B106" s="45" t="n">
        <v>5.1</v>
      </c>
      <c r="C106" s="46" t="inlineStr">
        <is>
          <t>Program Integration: Interoperability Gate and Cycle-Time Milestone</t>
        </is>
      </c>
      <c r="D106" s="192" t="n">
        <v>3000000</v>
      </c>
      <c r="E106" s="48" t="inlineStr">
        <is>
          <t>Prime (Purdue/IPAI): 00,000
Sub (Cytognosis PM): 50,000
Sub (McLean): 00,000
Sub (Duane Valz): 0,000
Shared Compute (program line): 00,000
Sequencing CRO (Phase II portion): 00,000
Cross-team/integration/reserve: 90,000</t>
        </is>
      </c>
      <c r="F106" s="48" t="inlineStr">
        <is>
          <t>Labor (PM + PIs): 00,000
Travel: 60,000
ODCs (shared GPU/cloud compute): 00,000
Subcontracts (sequencing CRO Phase II): 00,000
Cross-team integration and management reserve: 40,000</t>
        </is>
      </c>
      <c r="G106" s="46" t="inlineStr">
        <is>
          <t>Phase II interoperability gate review. &gt;=5 autonomous hypothesis cycles demonstrated. Biannual IV&amp;V reviews. Clinical data governance (McLean). IP/legal review (Duane). Shared compute Phase II portion reported in program line.</t>
        </is>
      </c>
      <c r="H106" s="46" t="inlineStr">
        <is>
          <t>&gt;=5 autonomous hypothesis cycles completed. &gt;=4x cycle-time improvement confirmed by IV&amp;V. Interoperability gate passed.</t>
        </is>
      </c>
      <c r="I106" s="46" t="inlineStr">
        <is>
          <t>Phase II interoperability gate report. &gt;=4x cycle-time certification. ARPA-H Phase II progress reviews.</t>
        </is>
      </c>
      <c r="J106" s="194" t="n">
        <v>46844</v>
      </c>
      <c r="K106" s="194" t="n">
        <v>47391</v>
      </c>
      <c r="L106" s="194" t="n">
        <v>47391</v>
      </c>
    </row>
    <row r="107" ht="23.25" customHeight="1">
      <c r="A107" s="191" t="n"/>
      <c r="B107" s="45" t="n">
        <v>5.2</v>
      </c>
      <c r="C107" s="46" t="n"/>
      <c r="D107" s="192" t="n">
        <v>0</v>
      </c>
      <c r="E107" s="48" t="n"/>
      <c r="F107" s="48" t="n"/>
      <c r="G107" s="46" t="n"/>
      <c r="H107" s="46" t="n"/>
      <c r="I107" s="46" t="n"/>
      <c r="J107" s="194" t="n"/>
      <c r="K107" s="194" t="n"/>
      <c r="L107" s="194" t="n"/>
    </row>
    <row r="108" ht="23.25" customHeight="1">
      <c r="A108" s="191" t="n"/>
      <c r="B108" s="45" t="n">
        <v>5.3</v>
      </c>
      <c r="C108" s="46" t="n"/>
      <c r="D108" s="192" t="n">
        <v>0</v>
      </c>
      <c r="E108" s="48" t="n"/>
      <c r="F108" s="48" t="n"/>
      <c r="G108" s="46" t="n"/>
      <c r="H108" s="46" t="n"/>
      <c r="I108" s="46" t="n"/>
      <c r="J108" s="194" t="n"/>
      <c r="K108" s="194" t="n"/>
      <c r="L108" s="194" t="n"/>
    </row>
    <row r="109" ht="23.25" customHeight="1">
      <c r="A109" s="191" t="n"/>
      <c r="B109" s="45" t="n">
        <v>5.4</v>
      </c>
      <c r="C109" s="46" t="n"/>
      <c r="D109" s="192" t="n">
        <v>0</v>
      </c>
      <c r="E109" s="48" t="n"/>
      <c r="F109" s="48" t="n"/>
      <c r="G109" s="46" t="n"/>
      <c r="H109" s="46" t="n"/>
      <c r="I109" s="46" t="n"/>
      <c r="J109" s="194" t="n"/>
      <c r="K109" s="194" t="n"/>
      <c r="L109" s="194" t="n"/>
    </row>
    <row r="110" ht="23.25" customHeight="1">
      <c r="A110" s="191" t="n"/>
      <c r="B110" s="45" t="n">
        <v>5.5</v>
      </c>
      <c r="C110" s="46" t="n"/>
      <c r="D110" s="192" t="n">
        <v>0</v>
      </c>
      <c r="E110" s="48" t="n"/>
      <c r="F110" s="48" t="n"/>
      <c r="G110" s="46" t="n"/>
      <c r="H110" s="46" t="n"/>
      <c r="I110" s="46" t="n"/>
      <c r="J110" s="194" t="n"/>
      <c r="K110" s="194" t="n"/>
      <c r="L110" s="194" t="n"/>
    </row>
    <row r="111" ht="23.25" customHeight="1">
      <c r="A111" s="191" t="n"/>
      <c r="B111" s="45" t="n">
        <v>5.6</v>
      </c>
      <c r="C111" s="46" t="n"/>
      <c r="D111" s="192" t="n">
        <v>0</v>
      </c>
      <c r="E111" s="48" t="n"/>
      <c r="F111" s="48" t="n"/>
      <c r="G111" s="46" t="n"/>
      <c r="H111" s="46" t="n"/>
      <c r="I111" s="46" t="n"/>
      <c r="J111" s="194" t="n"/>
      <c r="K111" s="194" t="n"/>
      <c r="L111" s="194" t="n"/>
    </row>
    <row r="112" ht="23.25" customHeight="1">
      <c r="A112" s="191" t="n"/>
      <c r="B112" s="45" t="n">
        <v>5.7</v>
      </c>
      <c r="C112" s="46" t="n"/>
      <c r="D112" s="192" t="n">
        <v>0</v>
      </c>
      <c r="E112" s="48" t="n"/>
      <c r="F112" s="48" t="n"/>
      <c r="G112" s="46" t="n"/>
      <c r="H112" s="46" t="n"/>
      <c r="I112" s="46" t="n"/>
      <c r="J112" s="194" t="n"/>
      <c r="K112" s="194" t="n"/>
      <c r="L112" s="194" t="n"/>
    </row>
    <row r="113" ht="23.25" customHeight="1">
      <c r="A113" s="191" t="n"/>
      <c r="B113" s="45" t="n">
        <v>5.8</v>
      </c>
      <c r="C113" s="46" t="n"/>
      <c r="D113" s="192" t="n">
        <v>0</v>
      </c>
      <c r="E113" s="48" t="n"/>
      <c r="F113" s="48" t="n"/>
      <c r="G113" s="46" t="n"/>
      <c r="H113" s="46" t="n"/>
      <c r="I113" s="46" t="n"/>
      <c r="J113" s="194" t="n"/>
      <c r="K113" s="194" t="n"/>
      <c r="L113" s="194" t="n"/>
    </row>
    <row r="114" ht="23.25" customHeight="1">
      <c r="A114" s="191" t="n"/>
      <c r="B114" s="45" t="n">
        <v>5.9</v>
      </c>
      <c r="C114" s="46" t="n"/>
      <c r="D114" s="192" t="n">
        <v>0</v>
      </c>
      <c r="E114" s="48" t="n"/>
      <c r="F114" s="48" t="n"/>
      <c r="G114" s="46" t="n"/>
      <c r="H114" s="46" t="n"/>
      <c r="I114" s="46" t="n"/>
      <c r="J114" s="194" t="n"/>
      <c r="K114" s="194" t="n"/>
      <c r="L114" s="194" t="n"/>
    </row>
    <row r="115" ht="23.25" customHeight="1">
      <c r="A115" s="197" t="n"/>
      <c r="B115" s="52" t="n">
        <v>5.1</v>
      </c>
      <c r="C115" s="46" t="n"/>
      <c r="D115" s="192" t="n">
        <v>0</v>
      </c>
      <c r="E115" s="48" t="n"/>
      <c r="F115" s="48" t="n"/>
      <c r="G115" s="46" t="n"/>
      <c r="H115" s="46" t="n"/>
      <c r="I115" s="46" t="n"/>
      <c r="J115" s="194" t="n"/>
      <c r="K115" s="194" t="n"/>
      <c r="L115" s="194" t="n"/>
    </row>
    <row r="116" ht="32.1" customHeight="1">
      <c r="A116" s="198" t="inlineStr">
        <is>
          <t>PHASE II TOTAL</t>
        </is>
      </c>
      <c r="B116" s="181" t="n"/>
      <c r="C116" s="178" t="n"/>
      <c r="D116" s="205" t="n"/>
      <c r="E116" s="199" t="n"/>
      <c r="F116" s="199" t="n"/>
      <c r="G116" s="133" t="n"/>
      <c r="H116" s="181" t="n"/>
      <c r="I116" s="181" t="n"/>
      <c r="J116" s="181" t="n"/>
      <c r="K116" s="181" t="n"/>
      <c r="L116" s="181" t="n"/>
    </row>
    <row r="117" ht="23.25" customHeight="1">
      <c r="A117" s="206" t="inlineStr">
        <is>
          <t>Phase III (24 month option)</t>
        </is>
      </c>
      <c r="B117" s="66" t="n">
        <v>1</v>
      </c>
      <c r="C117" s="67" t="inlineStr">
        <is>
          <t>TA1: Bipolar Extension and Open-Access Model Deposit</t>
        </is>
      </c>
      <c r="D117" s="207">
        <f>SUM(D118:D127)</f>
        <v/>
      </c>
      <c r="E117" s="69" t="n"/>
      <c r="F117" s="109" t="n"/>
      <c r="G117" s="70" t="n"/>
      <c r="H117" s="70" t="n"/>
      <c r="I117" s="70" t="n"/>
      <c r="J117" s="208" t="n"/>
      <c r="K117" s="208" t="n"/>
      <c r="L117" s="209" t="n"/>
    </row>
    <row r="118">
      <c r="A118" s="191" t="n"/>
      <c r="B118" s="45" t="n">
        <v>1.1</v>
      </c>
      <c r="C118" s="46" t="inlineStr">
        <is>
          <t>TA1: Bipolar Extension and Open-Access Model Deposit</t>
        </is>
      </c>
      <c r="D118" s="192" t="n">
        <v>4500000</v>
      </c>
      <c r="E118" s="48" t="inlineStr">
        <is>
          <t>Prime (Purdue/IPAI): $2,700,000
Sub (Cytognosis): $1,800,000</t>
        </is>
      </c>
      <c r="F118" s="48" t="inlineStr">
        <is>
          <t>Labor: $4,000,000
ODCs (compute): $500,000</t>
        </is>
      </c>
      <c r="G118" s="46" t="inlineStr">
        <is>
          <t>Bipolar disorder data integration and disease-axis transfer from schizophrenia. Scale to &gt;=15 sub-models across &gt;=3 scales. Open-access certified deposit (Zenodo / Hugging Face Hub). Model update latency &lt;=4h. &gt;=2x Phase I variance explained in 22q11DS.</t>
        </is>
      </c>
      <c r="H118" s="46" t="inlineStr">
        <is>
          <t>&gt;=15 sub-models. &lt;=4h update latency. &gt;=2x Phase I variance explained. &gt;=1 BD prediction confirmed. Open-access certified deposit by Month 60.</t>
        </is>
      </c>
      <c r="I118" s="46" t="inlineStr">
        <is>
          <t>Self-updating TA1 model v3 (both disease areas) deposited open-access (Apache-2.0). Model card v3.</t>
        </is>
      </c>
      <c r="J118" s="194" t="n">
        <v>47392</v>
      </c>
      <c r="K118" s="194" t="n">
        <v>48121</v>
      </c>
      <c r="L118" s="194" t="n">
        <v>48121</v>
      </c>
    </row>
    <row r="119">
      <c r="A119" s="191" t="n"/>
      <c r="B119" s="45" t="n">
        <v>1.2</v>
      </c>
      <c r="C119" s="46" t="n"/>
      <c r="D119" s="192" t="n">
        <v>0</v>
      </c>
      <c r="E119" s="48" t="n"/>
      <c r="F119" s="48" t="n"/>
      <c r="G119" s="46" t="n"/>
      <c r="H119" s="46" t="n"/>
      <c r="I119" s="46" t="n"/>
      <c r="J119" s="194" t="n"/>
      <c r="K119" s="194" t="n"/>
      <c r="L119" s="194" t="n"/>
    </row>
    <row r="120">
      <c r="A120" s="191" t="n"/>
      <c r="B120" s="45" t="n">
        <v>1.3</v>
      </c>
      <c r="C120" s="46" t="n"/>
      <c r="D120" s="192" t="n">
        <v>0</v>
      </c>
      <c r="E120" s="48" t="n"/>
      <c r="F120" s="48" t="n"/>
      <c r="G120" s="46" t="n"/>
      <c r="H120" s="46" t="n"/>
      <c r="I120" s="46" t="n"/>
      <c r="J120" s="194" t="n"/>
      <c r="K120" s="194" t="n"/>
      <c r="L120" s="194" t="n"/>
    </row>
    <row r="121">
      <c r="A121" s="191" t="n"/>
      <c r="B121" s="45" t="n">
        <v>1.4</v>
      </c>
      <c r="C121" s="46" t="n"/>
      <c r="D121" s="192" t="n">
        <v>0</v>
      </c>
      <c r="E121" s="48" t="n"/>
      <c r="F121" s="48" t="n"/>
      <c r="G121" s="46" t="n"/>
      <c r="H121" s="46" t="n"/>
      <c r="I121" s="46" t="n"/>
      <c r="J121" s="194" t="n"/>
      <c r="K121" s="194" t="n"/>
      <c r="L121" s="194" t="n"/>
    </row>
    <row r="122">
      <c r="A122" s="191" t="n"/>
      <c r="B122" s="45" t="n">
        <v>1.5</v>
      </c>
      <c r="C122" s="46" t="n"/>
      <c r="D122" s="192" t="n">
        <v>0</v>
      </c>
      <c r="E122" s="48" t="n"/>
      <c r="F122" s="48" t="n"/>
      <c r="G122" s="46" t="n"/>
      <c r="H122" s="46" t="n"/>
      <c r="I122" s="46" t="n"/>
      <c r="J122" s="194" t="n"/>
      <c r="K122" s="194" t="n"/>
      <c r="L122" s="194" t="n"/>
    </row>
    <row r="123">
      <c r="A123" s="191" t="n"/>
      <c r="B123" s="45" t="n">
        <v>1.6</v>
      </c>
      <c r="C123" s="46" t="n"/>
      <c r="D123" s="192" t="n">
        <v>0</v>
      </c>
      <c r="E123" s="48" t="n"/>
      <c r="F123" s="48" t="n"/>
      <c r="G123" s="46" t="n"/>
      <c r="H123" s="46" t="n"/>
      <c r="I123" s="46" t="n"/>
      <c r="J123" s="194" t="n"/>
      <c r="K123" s="194" t="n"/>
      <c r="L123" s="194" t="n"/>
    </row>
    <row r="124">
      <c r="A124" s="191" t="n"/>
      <c r="B124" s="45" t="n">
        <v>1.7</v>
      </c>
      <c r="C124" s="46" t="n"/>
      <c r="D124" s="192" t="n">
        <v>0</v>
      </c>
      <c r="E124" s="48" t="n"/>
      <c r="F124" s="48" t="n"/>
      <c r="G124" s="46" t="n"/>
      <c r="H124" s="46" t="n"/>
      <c r="I124" s="46" t="n"/>
      <c r="J124" s="194" t="n"/>
      <c r="K124" s="194" t="n"/>
      <c r="L124" s="194" t="n"/>
    </row>
    <row r="125">
      <c r="A125" s="191" t="n"/>
      <c r="B125" s="45" t="n">
        <v>1.8</v>
      </c>
      <c r="C125" s="46" t="n"/>
      <c r="D125" s="192" t="n">
        <v>0</v>
      </c>
      <c r="E125" s="48" t="n"/>
      <c r="F125" s="48" t="n"/>
      <c r="G125" s="46" t="n"/>
      <c r="H125" s="46" t="n"/>
      <c r="I125" s="46" t="n"/>
      <c r="J125" s="194" t="n"/>
      <c r="K125" s="194" t="n"/>
      <c r="L125" s="194" t="n"/>
    </row>
    <row r="126">
      <c r="A126" s="191" t="n"/>
      <c r="B126" s="45" t="n">
        <v>1.9</v>
      </c>
      <c r="C126" s="46" t="n"/>
      <c r="D126" s="192" t="n">
        <v>0</v>
      </c>
      <c r="E126" s="48" t="n"/>
      <c r="F126" s="48" t="n"/>
      <c r="G126" s="46" t="n"/>
      <c r="H126" s="46" t="n"/>
      <c r="I126" s="46" t="n"/>
      <c r="J126" s="194" t="n"/>
      <c r="K126" s="194" t="n"/>
      <c r="L126" s="194" t="n"/>
    </row>
    <row r="127">
      <c r="A127" s="191" t="n"/>
      <c r="B127" s="52" t="n">
        <v>1.1</v>
      </c>
      <c r="C127" s="46" t="n"/>
      <c r="D127" s="192" t="n">
        <v>0</v>
      </c>
      <c r="E127" s="48" t="n"/>
      <c r="F127" s="48" t="n"/>
      <c r="G127" s="46" t="n"/>
      <c r="H127" s="46" t="n"/>
      <c r="I127" s="46" t="n"/>
      <c r="J127" s="194" t="n"/>
      <c r="K127" s="194" t="n"/>
      <c r="L127" s="194" t="n"/>
    </row>
    <row r="128">
      <c r="A128" s="191" t="n"/>
      <c r="B128" s="66" t="n">
        <v>2</v>
      </c>
      <c r="C128" s="67" t="inlineStr">
        <is>
          <t>TA2: Generalization to Bipolar and External User Study</t>
        </is>
      </c>
      <c r="D128" s="207">
        <f>SUM(D129:D138)</f>
        <v/>
      </c>
      <c r="E128" s="69" t="n"/>
      <c r="F128" s="109" t="n"/>
      <c r="G128" s="70" t="n"/>
      <c r="H128" s="70" t="n"/>
      <c r="I128" s="70" t="n"/>
      <c r="J128" s="208" t="n"/>
      <c r="K128" s="208" t="n"/>
      <c r="L128" s="209" t="n"/>
    </row>
    <row r="129">
      <c r="A129" s="191" t="n"/>
      <c r="B129" s="45" t="n">
        <v>2.1</v>
      </c>
      <c r="C129" s="46" t="inlineStr">
        <is>
          <t>TA2: Generalization to Bipolar and External User Study</t>
        </is>
      </c>
      <c r="D129" s="192" t="n">
        <v>3600000</v>
      </c>
      <c r="E129" s="48" t="inlineStr">
        <is>
          <t>Prime (Purdue/IPAI): $1,200,000
Sub (Cytognosis): $2,400,000</t>
        </is>
      </c>
      <c r="F129" s="48" t="inlineStr">
        <is>
          <t>Labor: $3,100,000
ODCs: $500,000</t>
        </is>
      </c>
      <c r="G129" s="46" t="inlineStr">
        <is>
          <t>Bipolar experiment design, VOI scoring, and validation. External user study with &gt;=20 researchers. &gt;=85% high-value engine rating. &gt;=10x cycle-time vs baseline.</t>
        </is>
      </c>
      <c r="H129" s="46" t="inlineStr">
        <is>
          <t>&gt;=10x cycle-time reduction confirmed by IV&amp;V. &gt;=85% experiments rated high-value by external panel. External user study complete (&gt;=20 researchers).</t>
        </is>
      </c>
      <c r="I129" s="46" t="inlineStr">
        <is>
          <t>TA2 generalization release (BD; open-source). External user study report. &gt;=10x cycle-time certification.</t>
        </is>
      </c>
      <c r="J129" s="194" t="n">
        <v>47392</v>
      </c>
      <c r="K129" s="194" t="n">
        <v>48121</v>
      </c>
      <c r="L129" s="194" t="n">
        <v>48121</v>
      </c>
    </row>
    <row r="130">
      <c r="A130" s="191" t="n"/>
      <c r="B130" s="45" t="n">
        <v>2.2</v>
      </c>
      <c r="C130" s="46" t="n"/>
      <c r="D130" s="192" t="n">
        <v>0</v>
      </c>
      <c r="E130" s="48" t="n"/>
      <c r="F130" s="48" t="n"/>
      <c r="G130" s="46" t="n"/>
      <c r="H130" s="46" t="n"/>
      <c r="I130" s="46" t="n"/>
      <c r="J130" s="194" t="n"/>
      <c r="K130" s="194" t="n"/>
      <c r="L130" s="194" t="n"/>
    </row>
    <row r="131">
      <c r="A131" s="191" t="n"/>
      <c r="B131" s="45" t="n">
        <v>2.3</v>
      </c>
      <c r="C131" s="46" t="n"/>
      <c r="D131" s="192" t="n">
        <v>0</v>
      </c>
      <c r="E131" s="48" t="n"/>
      <c r="F131" s="48" t="n"/>
      <c r="G131" s="46" t="n"/>
      <c r="H131" s="46" t="n"/>
      <c r="I131" s="46" t="n"/>
      <c r="J131" s="194" t="n"/>
      <c r="K131" s="194" t="n"/>
      <c r="L131" s="194" t="n"/>
    </row>
    <row r="132">
      <c r="A132" s="191" t="n"/>
      <c r="B132" s="45" t="n">
        <v>2.4</v>
      </c>
      <c r="C132" s="46" t="n"/>
      <c r="D132" s="192" t="n">
        <v>0</v>
      </c>
      <c r="E132" s="48" t="n"/>
      <c r="F132" s="48" t="n"/>
      <c r="G132" s="46" t="n"/>
      <c r="H132" s="46" t="n"/>
      <c r="I132" s="46" t="n"/>
      <c r="J132" s="194" t="n"/>
      <c r="K132" s="194" t="n"/>
      <c r="L132" s="194" t="n"/>
    </row>
    <row r="133">
      <c r="A133" s="191" t="n"/>
      <c r="B133" s="45" t="n">
        <v>2.5</v>
      </c>
      <c r="C133" s="46" t="n"/>
      <c r="D133" s="192" t="n">
        <v>0</v>
      </c>
      <c r="E133" s="48" t="n"/>
      <c r="F133" s="48" t="n"/>
      <c r="G133" s="46" t="n"/>
      <c r="H133" s="46" t="n"/>
      <c r="I133" s="46" t="n"/>
      <c r="J133" s="194" t="n"/>
      <c r="K133" s="194" t="n"/>
      <c r="L133" s="194" t="n"/>
    </row>
    <row r="134">
      <c r="A134" s="191" t="n"/>
      <c r="B134" s="45" t="n">
        <v>2.6</v>
      </c>
      <c r="C134" s="46" t="n"/>
      <c r="D134" s="192" t="n">
        <v>0</v>
      </c>
      <c r="E134" s="48" t="n"/>
      <c r="F134" s="48" t="n"/>
      <c r="G134" s="46" t="n"/>
      <c r="H134" s="46" t="n"/>
      <c r="I134" s="46" t="n"/>
      <c r="J134" s="194" t="n"/>
      <c r="K134" s="194" t="n"/>
      <c r="L134" s="194" t="n"/>
    </row>
    <row r="135">
      <c r="A135" s="191" t="n"/>
      <c r="B135" s="45" t="n">
        <v>2.7</v>
      </c>
      <c r="C135" s="46" t="n"/>
      <c r="D135" s="192" t="n">
        <v>0</v>
      </c>
      <c r="E135" s="48" t="n"/>
      <c r="F135" s="48" t="n"/>
      <c r="G135" s="46" t="n"/>
      <c r="H135" s="46" t="n"/>
      <c r="I135" s="46" t="n"/>
      <c r="J135" s="194" t="n"/>
      <c r="K135" s="194" t="n"/>
      <c r="L135" s="194" t="n"/>
    </row>
    <row r="136">
      <c r="A136" s="191" t="n"/>
      <c r="B136" s="45" t="n">
        <v>2.8</v>
      </c>
      <c r="C136" s="46" t="n"/>
      <c r="D136" s="192" t="n">
        <v>0</v>
      </c>
      <c r="E136" s="48" t="n"/>
      <c r="F136" s="48" t="n"/>
      <c r="G136" s="46" t="n"/>
      <c r="H136" s="46" t="n"/>
      <c r="I136" s="46" t="n"/>
      <c r="J136" s="194" t="n"/>
      <c r="K136" s="194" t="n"/>
      <c r="L136" s="194" t="n"/>
    </row>
    <row r="137">
      <c r="A137" s="191" t="n"/>
      <c r="B137" s="45" t="n">
        <v>2.9</v>
      </c>
      <c r="C137" s="46" t="n"/>
      <c r="D137" s="192" t="n">
        <v>0</v>
      </c>
      <c r="E137" s="48" t="n"/>
      <c r="F137" s="48" t="n"/>
      <c r="G137" s="46" t="n"/>
      <c r="H137" s="46" t="n"/>
      <c r="I137" s="46" t="n"/>
      <c r="J137" s="194" t="n"/>
      <c r="K137" s="194" t="n"/>
      <c r="L137" s="194" t="n"/>
    </row>
    <row r="138">
      <c r="A138" s="191" t="n"/>
      <c r="B138" s="52" t="n">
        <v>2.1</v>
      </c>
      <c r="C138" s="46" t="n"/>
      <c r="D138" s="192" t="n">
        <v>0</v>
      </c>
      <c r="E138" s="48" t="n"/>
      <c r="F138" s="48" t="n"/>
      <c r="G138" s="46" t="n"/>
      <c r="H138" s="46" t="n"/>
      <c r="I138" s="46" t="n"/>
      <c r="J138" s="194" t="n"/>
      <c r="K138" s="194" t="n"/>
      <c r="L138" s="194" t="n"/>
    </row>
    <row r="139">
      <c r="A139" s="191" t="n"/>
      <c r="B139" s="66" t="n">
        <v>3</v>
      </c>
      <c r="C139" s="67" t="inlineStr">
        <is>
          <t>TA3: Open Standards, Connect-a-Thon, and External Engagement</t>
        </is>
      </c>
      <c r="D139" s="207">
        <f>SUM(D140:D149)</f>
        <v/>
      </c>
      <c r="E139" s="69" t="n"/>
      <c r="F139" s="109" t="n"/>
      <c r="G139" s="70" t="n"/>
      <c r="H139" s="70" t="n"/>
      <c r="I139" s="70" t="n"/>
      <c r="J139" s="208" t="n"/>
      <c r="K139" s="208" t="n"/>
      <c r="L139" s="209" t="n"/>
    </row>
    <row r="140">
      <c r="A140" s="191" t="n"/>
      <c r="B140" s="45" t="n">
        <v>3.1</v>
      </c>
      <c r="C140" s="46" t="inlineStr">
        <is>
          <t>TA3: Open Standards, Connect-a-Thon, and External Engagement</t>
        </is>
      </c>
      <c r="D140" s="192" t="n">
        <v>2800000</v>
      </c>
      <c r="E140" s="48" t="inlineStr">
        <is>
          <t>Sub (SIFT): $2,800,000</t>
        </is>
      </c>
      <c r="F140" s="48" t="inlineStr">
        <is>
          <t>Labor: $2,300,000
Travel: $200,000
ODCs: $300,000</t>
        </is>
      </c>
      <c r="G140" s="46" t="inlineStr">
        <is>
          <t>Open data and metadata layer delivery. External standards-body engagement (LabOP/W3C/OBO). Phase III connect-a-thon: &gt;=3 external labs execute cross-team protocols with &gt;=80% concordance. Open protocol-stack marketplace.</t>
        </is>
      </c>
      <c r="H140" s="46" t="inlineStr">
        <is>
          <t>Connect-a-thon: &gt;=3 external labs, &gt;=80% concordance. &gt;=1 external standards-body submission or co-authorship.</t>
        </is>
      </c>
      <c r="I140" s="46" t="inlineStr">
        <is>
          <t>TA3 v3 open protocol stack (Apache-2.0). Connect-a-thon report. Standards-engagement deliverable.</t>
        </is>
      </c>
      <c r="J140" s="194" t="n">
        <v>47392</v>
      </c>
      <c r="K140" s="194" t="n">
        <v>48121</v>
      </c>
      <c r="L140" s="194" t="n">
        <v>48121</v>
      </c>
    </row>
    <row r="141">
      <c r="A141" s="191" t="n"/>
      <c r="B141" s="45" t="n">
        <v>3.2</v>
      </c>
      <c r="C141" s="46" t="n"/>
      <c r="D141" s="192" t="n">
        <v>0</v>
      </c>
      <c r="E141" s="48" t="n"/>
      <c r="F141" s="48" t="n"/>
      <c r="G141" s="46" t="n"/>
      <c r="H141" s="46" t="n"/>
      <c r="I141" s="46" t="n"/>
      <c r="J141" s="194" t="n"/>
      <c r="K141" s="194" t="n"/>
      <c r="L141" s="194" t="n"/>
    </row>
    <row r="142">
      <c r="A142" s="191" t="n"/>
      <c r="B142" s="45" t="n">
        <v>3.3</v>
      </c>
      <c r="C142" s="46" t="n"/>
      <c r="D142" s="192" t="n">
        <v>0</v>
      </c>
      <c r="E142" s="48" t="n"/>
      <c r="F142" s="48" t="n"/>
      <c r="G142" s="46" t="n"/>
      <c r="H142" s="46" t="n"/>
      <c r="I142" s="46" t="n"/>
      <c r="J142" s="194" t="n"/>
      <c r="K142" s="194" t="n"/>
      <c r="L142" s="194" t="n"/>
    </row>
    <row r="143">
      <c r="A143" s="191" t="n"/>
      <c r="B143" s="45" t="n">
        <v>3.4</v>
      </c>
      <c r="C143" s="46" t="n"/>
      <c r="D143" s="192" t="n">
        <v>0</v>
      </c>
      <c r="E143" s="48" t="n"/>
      <c r="F143" s="48" t="n"/>
      <c r="G143" s="46" t="n"/>
      <c r="H143" s="46" t="n"/>
      <c r="I143" s="46" t="n"/>
      <c r="J143" s="194" t="n"/>
      <c r="K143" s="194" t="n"/>
      <c r="L143" s="194" t="n"/>
    </row>
    <row r="144">
      <c r="A144" s="191" t="n"/>
      <c r="B144" s="45" t="n">
        <v>3.5</v>
      </c>
      <c r="C144" s="46" t="n"/>
      <c r="D144" s="192" t="n">
        <v>0</v>
      </c>
      <c r="E144" s="48" t="n"/>
      <c r="F144" s="48" t="n"/>
      <c r="G144" s="46" t="n"/>
      <c r="H144" s="46" t="n"/>
      <c r="I144" s="46" t="n"/>
      <c r="J144" s="194" t="n"/>
      <c r="K144" s="194" t="n"/>
      <c r="L144" s="194" t="n"/>
    </row>
    <row r="145">
      <c r="A145" s="191" t="n"/>
      <c r="B145" s="45" t="n">
        <v>3.6</v>
      </c>
      <c r="C145" s="46" t="n"/>
      <c r="D145" s="192" t="n">
        <v>0</v>
      </c>
      <c r="E145" s="48" t="n"/>
      <c r="F145" s="48" t="n"/>
      <c r="G145" s="46" t="n"/>
      <c r="H145" s="46" t="n"/>
      <c r="I145" s="46" t="n"/>
      <c r="J145" s="194" t="n"/>
      <c r="K145" s="194" t="n"/>
      <c r="L145" s="194" t="n"/>
    </row>
    <row r="146">
      <c r="A146" s="191" t="n"/>
      <c r="B146" s="45" t="n">
        <v>3.7</v>
      </c>
      <c r="C146" s="46" t="n"/>
      <c r="D146" s="192" t="n">
        <v>0</v>
      </c>
      <c r="E146" s="48" t="n"/>
      <c r="F146" s="48" t="n"/>
      <c r="G146" s="46" t="n"/>
      <c r="H146" s="46" t="n"/>
      <c r="I146" s="46" t="n"/>
      <c r="J146" s="194" t="n"/>
      <c r="K146" s="194" t="n"/>
      <c r="L146" s="194" t="n"/>
    </row>
    <row r="147">
      <c r="A147" s="191" t="n"/>
      <c r="B147" s="45" t="n">
        <v>3.8</v>
      </c>
      <c r="C147" s="46" t="n"/>
      <c r="D147" s="192" t="n">
        <v>0</v>
      </c>
      <c r="E147" s="48" t="n"/>
      <c r="F147" s="48" t="n"/>
      <c r="G147" s="46" t="n"/>
      <c r="H147" s="46" t="n"/>
      <c r="I147" s="46" t="n"/>
      <c r="J147" s="194" t="n"/>
      <c r="K147" s="194" t="n"/>
      <c r="L147" s="194" t="n"/>
    </row>
    <row r="148">
      <c r="A148" s="191" t="n"/>
      <c r="B148" s="45" t="n">
        <v>3.9</v>
      </c>
      <c r="C148" s="46" t="n"/>
      <c r="D148" s="192" t="n">
        <v>0</v>
      </c>
      <c r="E148" s="48" t="n"/>
      <c r="F148" s="48" t="n"/>
      <c r="G148" s="46" t="n"/>
      <c r="H148" s="46" t="n"/>
      <c r="I148" s="46" t="n"/>
      <c r="J148" s="194" t="n"/>
      <c r="K148" s="194" t="n"/>
      <c r="L148" s="194" t="n"/>
    </row>
    <row r="149">
      <c r="A149" s="191" t="n"/>
      <c r="B149" s="52" t="n">
        <v>3.1</v>
      </c>
      <c r="C149" s="46" t="n"/>
      <c r="D149" s="192" t="n">
        <v>0</v>
      </c>
      <c r="E149" s="48" t="n"/>
      <c r="F149" s="48" t="n"/>
      <c r="G149" s="46" t="n"/>
      <c r="H149" s="46" t="n"/>
      <c r="I149" s="46" t="n"/>
      <c r="J149" s="194" t="n"/>
      <c r="K149" s="194" t="n"/>
      <c r="L149" s="194" t="n"/>
    </row>
    <row r="150">
      <c r="A150" s="191" t="n"/>
      <c r="B150" s="66" t="n">
        <v>4</v>
      </c>
      <c r="C150" s="67" t="inlineStr">
        <is>
          <t>TA4: Unified Marketplace and Autonomous Exception Handling</t>
        </is>
      </c>
      <c r="D150" s="207">
        <f>SUM(D151:D160)</f>
        <v/>
      </c>
      <c r="E150" s="69" t="n"/>
      <c r="F150" s="109" t="n"/>
      <c r="G150" s="70" t="n"/>
      <c r="H150" s="70" t="n"/>
      <c r="I150" s="70" t="n"/>
      <c r="J150" s="208" t="n"/>
      <c r="K150" s="208" t="n"/>
      <c r="L150" s="209" t="n"/>
    </row>
    <row r="151">
      <c r="A151" s="191" t="n"/>
      <c r="B151" s="45" t="n">
        <v>4.1</v>
      </c>
      <c r="C151" s="46" t="inlineStr">
        <is>
          <t>TA4: Unified Marketplace and Autonomous Exception Handling</t>
        </is>
      </c>
      <c r="D151" s="192" t="n">
        <v>5100000</v>
      </c>
      <c r="E151" s="48" t="inlineStr">
        <is>
          <t>Sub (Purdue Tegtmeyer): $2,300,000
Sub (Cellanome): $2,800,000</t>
        </is>
      </c>
      <c r="F151" s="48" t="inlineStr">
        <is>
          <t>Labor: $2,000,000
Materials: $800,000
ODCs (sequencing/runs): $2,300,000</t>
        </is>
      </c>
      <c r="G151" s="46" t="inlineStr">
        <is>
          <t>Unified marketplace deployed (academic + industry + optional external labs). Stage 3 targeted combinatorial perturbation of TA1/TA2-nominated pathways in both SZ and BD. Autonomous exception-handling scale-up at &gt;=2 labs. Marketplace quality-certification framework.</t>
        </is>
      </c>
      <c r="H151" s="46" t="inlineStr">
        <is>
          <t>Unified marketplace deployed. &gt;=10x cycle-time at marketplace scale. BD combinatorial perturbation data returned and TA1 updated.</t>
        </is>
      </c>
      <c r="I151" s="46" t="inlineStr">
        <is>
          <t>Unified marketplace (open interfaces, Apache-2.0). Stage 3 combinatorial dataset (model-ready). Autonomous exception-handling report.</t>
        </is>
      </c>
      <c r="J151" s="194" t="n">
        <v>47392</v>
      </c>
      <c r="K151" s="194" t="n">
        <v>48121</v>
      </c>
      <c r="L151" s="194" t="n">
        <v>48121</v>
      </c>
    </row>
    <row r="152">
      <c r="A152" s="191" t="n"/>
      <c r="B152" s="45" t="n">
        <v>4.2</v>
      </c>
      <c r="C152" s="46" t="n"/>
      <c r="D152" s="192" t="n">
        <v>0</v>
      </c>
      <c r="E152" s="48" t="n"/>
      <c r="F152" s="48" t="n"/>
      <c r="G152" s="46" t="n"/>
      <c r="H152" s="46" t="n"/>
      <c r="I152" s="46" t="n"/>
      <c r="J152" s="194" t="n"/>
      <c r="K152" s="194" t="n"/>
      <c r="L152" s="194" t="n"/>
    </row>
    <row r="153">
      <c r="A153" s="191" t="n"/>
      <c r="B153" s="45" t="n">
        <v>4.3</v>
      </c>
      <c r="C153" s="46" t="n"/>
      <c r="D153" s="192" t="n">
        <v>0</v>
      </c>
      <c r="E153" s="48" t="n"/>
      <c r="F153" s="48" t="n"/>
      <c r="G153" s="46" t="n"/>
      <c r="H153" s="46" t="n"/>
      <c r="I153" s="46" t="n"/>
      <c r="J153" s="194" t="n"/>
      <c r="K153" s="194" t="n"/>
      <c r="L153" s="194" t="n"/>
    </row>
    <row r="154">
      <c r="A154" s="191" t="n"/>
      <c r="B154" s="45" t="n">
        <v>4.4</v>
      </c>
      <c r="C154" s="46" t="n"/>
      <c r="D154" s="192" t="n">
        <v>0</v>
      </c>
      <c r="E154" s="48" t="n"/>
      <c r="F154" s="48" t="n"/>
      <c r="G154" s="46" t="n"/>
      <c r="H154" s="46" t="n"/>
      <c r="I154" s="46" t="n"/>
      <c r="J154" s="194" t="n"/>
      <c r="K154" s="194" t="n"/>
      <c r="L154" s="194" t="n"/>
    </row>
    <row r="155">
      <c r="A155" s="191" t="n"/>
      <c r="B155" s="45" t="n">
        <v>4.5</v>
      </c>
      <c r="C155" s="46" t="n"/>
      <c r="D155" s="192" t="n">
        <v>0</v>
      </c>
      <c r="E155" s="48" t="n"/>
      <c r="F155" s="48" t="n"/>
      <c r="G155" s="46" t="n"/>
      <c r="H155" s="46" t="n"/>
      <c r="I155" s="46" t="n"/>
      <c r="J155" s="194" t="n"/>
      <c r="K155" s="194" t="n"/>
      <c r="L155" s="194" t="n"/>
    </row>
    <row r="156">
      <c r="A156" s="191" t="n"/>
      <c r="B156" s="45" t="n">
        <v>4.6</v>
      </c>
      <c r="C156" s="46" t="n"/>
      <c r="D156" s="192" t="n">
        <v>0</v>
      </c>
      <c r="E156" s="48" t="n"/>
      <c r="F156" s="48" t="n"/>
      <c r="G156" s="46" t="n"/>
      <c r="H156" s="46" t="n"/>
      <c r="I156" s="46" t="n"/>
      <c r="J156" s="194" t="n"/>
      <c r="K156" s="194" t="n"/>
      <c r="L156" s="194" t="n"/>
    </row>
    <row r="157">
      <c r="A157" s="191" t="n"/>
      <c r="B157" s="45" t="n">
        <v>4.7</v>
      </c>
      <c r="C157" s="46" t="n"/>
      <c r="D157" s="192" t="n">
        <v>0</v>
      </c>
      <c r="E157" s="48" t="n"/>
      <c r="F157" s="48" t="n"/>
      <c r="G157" s="46" t="n"/>
      <c r="H157" s="46" t="n"/>
      <c r="I157" s="46" t="n"/>
      <c r="J157" s="194" t="n"/>
      <c r="K157" s="194" t="n"/>
      <c r="L157" s="194" t="n"/>
    </row>
    <row r="158">
      <c r="A158" s="191" t="n"/>
      <c r="B158" s="45" t="n">
        <v>4.8</v>
      </c>
      <c r="C158" s="46" t="n"/>
      <c r="D158" s="192" t="n">
        <v>0</v>
      </c>
      <c r="E158" s="48" t="n"/>
      <c r="F158" s="48" t="n"/>
      <c r="G158" s="46" t="n"/>
      <c r="H158" s="46" t="n"/>
      <c r="I158" s="46" t="n"/>
      <c r="J158" s="194" t="n"/>
      <c r="K158" s="194" t="n"/>
      <c r="L158" s="194" t="n"/>
    </row>
    <row r="159">
      <c r="A159" s="191" t="n"/>
      <c r="B159" s="45" t="n">
        <v>4.9</v>
      </c>
      <c r="C159" s="46" t="n"/>
      <c r="D159" s="192" t="n">
        <v>0</v>
      </c>
      <c r="E159" s="48" t="n"/>
      <c r="F159" s="48" t="n"/>
      <c r="G159" s="46" t="n"/>
      <c r="H159" s="46" t="n"/>
      <c r="I159" s="46" t="n"/>
      <c r="J159" s="194" t="n"/>
      <c r="K159" s="194" t="n"/>
      <c r="L159" s="194" t="n"/>
    </row>
    <row r="160">
      <c r="A160" s="191" t="n"/>
      <c r="B160" s="52" t="n">
        <v>4.1</v>
      </c>
      <c r="C160" s="46" t="n"/>
      <c r="D160" s="192" t="n">
        <v>0</v>
      </c>
      <c r="E160" s="48" t="n"/>
      <c r="F160" s="48" t="n"/>
      <c r="G160" s="46" t="n"/>
      <c r="H160" s="46" t="n"/>
      <c r="I160" s="46" t="n"/>
      <c r="J160" s="194" t="n"/>
      <c r="K160" s="194" t="n"/>
      <c r="L160" s="194" t="n"/>
    </row>
    <row r="161">
      <c r="A161" s="191" t="n"/>
      <c r="B161" s="66" t="n">
        <v>5</v>
      </c>
      <c r="C161" s="67" t="inlineStr">
        <is>
          <t>Program Integration: Transition, Open-Access Certification, Sustainability</t>
        </is>
      </c>
      <c r="D161" s="207">
        <f>SUM(D162:D171)</f>
        <v/>
      </c>
      <c r="E161" s="69" t="n"/>
      <c r="F161" s="109" t="n"/>
      <c r="G161" s="70" t="n"/>
      <c r="H161" s="70" t="n"/>
      <c r="I161" s="70" t="n"/>
      <c r="J161" s="208" t="n"/>
      <c r="K161" s="208" t="n"/>
      <c r="L161" s="209" t="n"/>
    </row>
    <row r="162">
      <c r="A162" s="191" t="n"/>
      <c r="B162" s="45" t="n">
        <v>5.1</v>
      </c>
      <c r="C162" s="46" t="inlineStr">
        <is>
          <t>Program Integration: Transition, Open-Access Certification, Sustainability</t>
        </is>
      </c>
      <c r="D162" s="192" t="n">
        <v>2400000</v>
      </c>
      <c r="E162" s="48" t="inlineStr">
        <is>
          <t>Prime (Purdue/IPAI): $500,000
Sub (Cytognosis PM): $500,000
Sub (McLean): $300,000
Sub (Duane Valz): $60,000
Cross-team/reserve: $1,040,000</t>
        </is>
      </c>
      <c r="F162" s="48" t="inlineStr">
        <is>
          <t>Labor (PM + PIs): $1,000,000
Travel: $200,000
ODCs (compute/sequencing): $1,200,000</t>
        </is>
      </c>
      <c r="G162" s="46" t="inlineStr">
        <is>
          <t>Phase III connect-a-thon (travel). Open-access certification of all deliverables. Sustainability plan. ARPA-H final reporting. McLean data governance close. Duane IP disposition + OSS license confirmations. Shared compute Phase III (partial; remainder in program line). TA4 sequencing CRO Phase III.</t>
        </is>
      </c>
      <c r="H162" s="46" t="inlineStr">
        <is>
          <t>All primary deliverables open-access certified. &gt;=10x cycle-time confirmed. Sustainability plan accepted by ARPA-H PM.</t>
        </is>
      </c>
      <c r="I162" s="46" t="inlineStr">
        <is>
          <t>Final ARPA-H program report. Open-access certification package. Sustainability plan. Complete deliverable manifest.</t>
        </is>
      </c>
      <c r="J162" s="194" t="n">
        <v>47392</v>
      </c>
      <c r="K162" s="194" t="n">
        <v>48121</v>
      </c>
      <c r="L162" s="194" t="n">
        <v>48121</v>
      </c>
    </row>
    <row r="163">
      <c r="A163" s="191" t="n"/>
      <c r="B163" s="45" t="n">
        <v>5.2</v>
      </c>
      <c r="C163" s="46" t="n"/>
      <c r="D163" s="192" t="n">
        <v>0</v>
      </c>
      <c r="E163" s="48" t="n"/>
      <c r="F163" s="48" t="n"/>
      <c r="G163" s="46" t="n"/>
      <c r="H163" s="46" t="n"/>
      <c r="I163" s="46" t="n"/>
      <c r="J163" s="194" t="n"/>
      <c r="K163" s="194" t="n"/>
      <c r="L163" s="194" t="n"/>
    </row>
    <row r="164">
      <c r="A164" s="191" t="n"/>
      <c r="B164" s="45" t="n">
        <v>5.3</v>
      </c>
      <c r="C164" s="46" t="n"/>
      <c r="D164" s="192" t="n">
        <v>0</v>
      </c>
      <c r="E164" s="48" t="n"/>
      <c r="F164" s="48" t="n"/>
      <c r="G164" s="46" t="n"/>
      <c r="H164" s="46" t="n"/>
      <c r="I164" s="46" t="n"/>
      <c r="J164" s="194" t="n"/>
      <c r="K164" s="194" t="n"/>
      <c r="L164" s="194" t="n"/>
    </row>
    <row r="165">
      <c r="A165" s="191" t="n"/>
      <c r="B165" s="45" t="n">
        <v>5.4</v>
      </c>
      <c r="C165" s="46" t="n"/>
      <c r="D165" s="192" t="n">
        <v>0</v>
      </c>
      <c r="E165" s="48" t="n"/>
      <c r="F165" s="48" t="n"/>
      <c r="G165" s="46" t="n"/>
      <c r="H165" s="46" t="n"/>
      <c r="I165" s="46" t="n"/>
      <c r="J165" s="194" t="n"/>
      <c r="K165" s="194" t="n"/>
      <c r="L165" s="194" t="n"/>
    </row>
    <row r="166">
      <c r="A166" s="191" t="n"/>
      <c r="B166" s="45" t="n">
        <v>5.5</v>
      </c>
      <c r="C166" s="46" t="n"/>
      <c r="D166" s="192" t="n">
        <v>0</v>
      </c>
      <c r="E166" s="48" t="n"/>
      <c r="F166" s="48" t="n"/>
      <c r="G166" s="46" t="n"/>
      <c r="H166" s="46" t="n"/>
      <c r="I166" s="46" t="n"/>
      <c r="J166" s="194" t="n"/>
      <c r="K166" s="194" t="n"/>
      <c r="L166" s="194" t="n"/>
    </row>
    <row r="167">
      <c r="A167" s="191" t="n"/>
      <c r="B167" s="45" t="n">
        <v>5.6</v>
      </c>
      <c r="C167" s="46" t="n"/>
      <c r="D167" s="192" t="n">
        <v>0</v>
      </c>
      <c r="E167" s="48" t="n"/>
      <c r="F167" s="48" t="n"/>
      <c r="G167" s="46" t="n"/>
      <c r="H167" s="46" t="n"/>
      <c r="I167" s="46" t="n"/>
      <c r="J167" s="194" t="n"/>
      <c r="K167" s="194" t="n"/>
      <c r="L167" s="194" t="n"/>
    </row>
    <row r="168">
      <c r="A168" s="191" t="n"/>
      <c r="B168" s="45" t="n">
        <v>5.7</v>
      </c>
      <c r="C168" s="46" t="n"/>
      <c r="D168" s="192" t="n">
        <v>0</v>
      </c>
      <c r="E168" s="48" t="n"/>
      <c r="F168" s="48" t="n"/>
      <c r="G168" s="46" t="n"/>
      <c r="H168" s="46" t="n"/>
      <c r="I168" s="46" t="n"/>
      <c r="J168" s="194" t="n"/>
      <c r="K168" s="194" t="n"/>
      <c r="L168" s="194" t="n"/>
    </row>
    <row r="169">
      <c r="A169" s="191" t="n"/>
      <c r="B169" s="45" t="n">
        <v>5.8</v>
      </c>
      <c r="C169" s="46" t="n"/>
      <c r="D169" s="192" t="n">
        <v>0</v>
      </c>
      <c r="E169" s="48" t="n"/>
      <c r="F169" s="48" t="n"/>
      <c r="G169" s="46" t="n"/>
      <c r="H169" s="46" t="n"/>
      <c r="I169" s="46" t="n"/>
      <c r="J169" s="194" t="n"/>
      <c r="K169" s="194" t="n"/>
      <c r="L169" s="194" t="n"/>
    </row>
    <row r="170">
      <c r="A170" s="191" t="n"/>
      <c r="B170" s="45" t="n">
        <v>5.9</v>
      </c>
      <c r="C170" s="46" t="n"/>
      <c r="D170" s="192" t="n">
        <v>0</v>
      </c>
      <c r="E170" s="48" t="n"/>
      <c r="F170" s="48" t="n"/>
      <c r="G170" s="46" t="n"/>
      <c r="H170" s="46" t="n"/>
      <c r="I170" s="46" t="n"/>
      <c r="J170" s="194" t="n"/>
      <c r="K170" s="194" t="n"/>
      <c r="L170" s="194" t="n"/>
    </row>
    <row r="171">
      <c r="A171" s="197" t="n"/>
      <c r="B171" s="52" t="n">
        <v>5.1</v>
      </c>
      <c r="C171" s="46" t="n"/>
      <c r="D171" s="192" t="n">
        <v>0</v>
      </c>
      <c r="E171" s="48" t="n"/>
      <c r="F171" s="48" t="n"/>
      <c r="G171" s="46" t="n"/>
      <c r="H171" s="46" t="n"/>
      <c r="I171" s="46" t="n"/>
      <c r="J171" s="194" t="n"/>
      <c r="K171" s="194" t="n"/>
      <c r="L171" s="194" t="n"/>
    </row>
    <row r="172">
      <c r="A172" s="198" t="inlineStr">
        <is>
          <t>PHASE III TOTAL</t>
        </is>
      </c>
      <c r="B172" s="181" t="n"/>
      <c r="C172" s="178" t="n"/>
      <c r="D172" s="205" t="n"/>
      <c r="E172" s="205" t="n"/>
      <c r="F172" s="199" t="n"/>
      <c r="G172" s="133" t="n"/>
      <c r="H172" s="181" t="n"/>
      <c r="I172" s="181" t="n"/>
      <c r="J172" s="181" t="n"/>
      <c r="K172" s="181" t="n"/>
      <c r="L172" s="181" t="n"/>
    </row>
    <row r="173" ht="75.40000000000001" customHeight="1">
      <c r="A173" s="73" t="inlineStr">
        <is>
          <t>TOTAL PROJECT COST</t>
        </is>
      </c>
      <c r="B173" s="74" t="n"/>
      <c r="C173" s="75" t="inlineStr">
        <is>
          <t xml:space="preserve">Total Project Cost </t>
        </is>
      </c>
      <c r="D173" s="210">
        <f>SUM(D60+D116+D172)</f>
        <v/>
      </c>
      <c r="E173" s="210" t="n"/>
      <c r="F173" s="211" t="n"/>
      <c r="G173" s="128" t="n"/>
      <c r="H173" s="181" t="n"/>
      <c r="I173" s="181" t="n"/>
      <c r="J173" s="181" t="n"/>
      <c r="K173" s="181" t="n"/>
      <c r="L173" s="181" t="n"/>
    </row>
  </sheetData>
  <mergeCells count="11">
    <mergeCell ref="G116:L116"/>
    <mergeCell ref="A1:D1"/>
    <mergeCell ref="A60:C60"/>
    <mergeCell ref="A116:C116"/>
    <mergeCell ref="G172:L172"/>
    <mergeCell ref="G60:L60"/>
    <mergeCell ref="G173:L173"/>
    <mergeCell ref="A117:A171"/>
    <mergeCell ref="A61:A115"/>
    <mergeCell ref="A5:A59"/>
    <mergeCell ref="A172:C172"/>
  </mergeCells>
  <pageMargins left="0.7" right="0.7" top="0.75" bottom="0.75" header="0.3" footer="0.3"/>
  <pageSetup orientation="portrait" paperSize="5" scale="27" fitToHeight="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B13" sqref="B13"/>
    </sheetView>
  </sheetViews>
  <sheetFormatPr baseColWidth="8" defaultColWidth="9" defaultRowHeight="13.9"/>
  <cols>
    <col width="26.140625" customWidth="1" style="7" min="1" max="2"/>
    <col width="16.7109375" customWidth="1" style="7" min="3" max="3"/>
    <col width="11.140625" customWidth="1" style="7" min="4" max="4"/>
    <col width="23.7109375" customWidth="1" style="7" min="5" max="5"/>
    <col width="9" customWidth="1" style="7" min="6" max="6"/>
    <col width="11.140625" customWidth="1" style="7" min="7" max="7"/>
    <col width="23.7109375" customWidth="1" style="7" min="8" max="8"/>
    <col width="9" customWidth="1" style="7" min="9" max="9"/>
    <col width="11.140625" customWidth="1" style="7" min="10" max="10"/>
    <col width="23.7109375" customWidth="1" style="7" min="11" max="11"/>
    <col width="9" customWidth="1" style="7" min="12" max="16384"/>
  </cols>
  <sheetData>
    <row r="1" ht="15" customHeight="1">
      <c r="A1" s="145" t="inlineStr">
        <is>
          <t xml:space="preserve">LABOR </t>
        </is>
      </c>
      <c r="B1" s="212" t="n"/>
      <c r="C1" s="212" t="n"/>
      <c r="D1" s="212" t="n"/>
      <c r="E1" s="213" t="n"/>
      <c r="F1" s="82" t="n"/>
    </row>
    <row r="2">
      <c r="A2" s="214" t="n"/>
      <c r="E2" s="215" t="n"/>
      <c r="F2" s="82" t="n"/>
    </row>
    <row r="3">
      <c r="A3" s="216" t="n"/>
      <c r="B3" s="217" t="n"/>
      <c r="C3" s="217" t="n"/>
      <c r="D3" s="217" t="n"/>
      <c r="E3" s="218" t="n"/>
      <c r="F3" s="82" t="n"/>
    </row>
    <row r="4" ht="15" customHeight="1">
      <c r="A4" s="146" t="inlineStr">
        <is>
          <t>All direct labor cost description/justification narrative should be located in Appendix C.3 Price Proposal</t>
        </is>
      </c>
      <c r="B4" s="212" t="n"/>
      <c r="C4" s="212" t="n"/>
      <c r="D4" s="212" t="n"/>
      <c r="E4" s="213" t="n"/>
      <c r="F4" s="83" t="n"/>
    </row>
    <row r="5">
      <c r="A5" s="216" t="n"/>
      <c r="B5" s="217" t="n"/>
      <c r="C5" s="217" t="n"/>
      <c r="D5" s="217" t="n"/>
      <c r="E5" s="218" t="n"/>
      <c r="F5" s="83" t="n"/>
    </row>
    <row r="6" ht="17.65" customHeight="1">
      <c r="A6" s="219" t="n"/>
      <c r="B6" s="212" t="n"/>
      <c r="C6" s="213" t="n"/>
      <c r="D6" s="148" t="inlineStr">
        <is>
          <t xml:space="preserve">Phase I </t>
        </is>
      </c>
      <c r="E6" s="178" t="n"/>
      <c r="F6" s="84" t="n"/>
      <c r="G6" s="149" t="inlineStr">
        <is>
          <t>Phase II</t>
        </is>
      </c>
      <c r="H6" s="178" t="n"/>
      <c r="I6" s="84" t="n"/>
      <c r="J6" s="141" t="inlineStr">
        <is>
          <t>Phase III</t>
        </is>
      </c>
      <c r="K6" s="178" t="n"/>
    </row>
    <row r="7" ht="18.75" customHeight="1">
      <c r="A7" s="216" t="n"/>
      <c r="B7" s="217" t="n"/>
      <c r="C7" s="218" t="n"/>
      <c r="D7" s="142" t="inlineStr">
        <is>
          <t>Months 1-24</t>
        </is>
      </c>
      <c r="E7" s="178" t="n"/>
      <c r="F7" s="84" t="n"/>
      <c r="G7" s="143" t="inlineStr">
        <is>
          <t>Months 25-42</t>
        </is>
      </c>
      <c r="H7" s="178" t="n"/>
      <c r="I7" s="84" t="n"/>
      <c r="J7" s="144" t="inlineStr">
        <is>
          <t>Months 43-54</t>
        </is>
      </c>
      <c r="K7" s="178" t="n"/>
    </row>
    <row r="8" ht="50.25" customHeight="1">
      <c r="A8" s="85" t="inlineStr">
        <is>
          <t>LABOR 
(List each category separately)</t>
        </is>
      </c>
      <c r="B8" s="85" t="inlineStr">
        <is>
          <t xml:space="preserve">Name of Person Occupying Position 
</t>
        </is>
      </c>
      <c r="C8" s="85" t="inlineStr">
        <is>
          <t>Organization</t>
        </is>
      </c>
      <c r="D8" s="145" t="inlineStr">
        <is>
          <t>Hours</t>
        </is>
      </c>
      <c r="E8" s="145" t="inlineStr">
        <is>
          <t>Associated Task(s) &amp; Subtask(s)</t>
        </is>
      </c>
      <c r="F8" s="86" t="n"/>
      <c r="G8" s="145" t="inlineStr">
        <is>
          <t>Hours</t>
        </is>
      </c>
      <c r="H8" s="145" t="inlineStr">
        <is>
          <t>Associated Task(s) &amp; Subtask(s)</t>
        </is>
      </c>
      <c r="I8" s="86" t="n"/>
      <c r="J8" s="145" t="inlineStr">
        <is>
          <t>Hours</t>
        </is>
      </c>
      <c r="K8" s="145" t="inlineStr">
        <is>
          <t>Associated Task(s) &amp; Subtask(s)</t>
        </is>
      </c>
    </row>
    <row r="9">
      <c r="A9" s="87" t="inlineStr">
        <is>
          <t>PI / TA1+TA2 Co-Lead</t>
        </is>
      </c>
      <c r="B9" s="87" t="inlineStr">
        <is>
          <t>Shahin Mohammadi (Cytognosis CEO)</t>
        </is>
      </c>
      <c r="C9" s="87" t="inlineStr">
        <is>
          <t>Cytognosis Foundation</t>
        </is>
      </c>
      <c r="D9" s="88" t="n">
        <v>1560</v>
      </c>
      <c r="E9" s="89" t="inlineStr">
        <is>
          <t>1.1.0, 1.2.0, 2.1.0, 2.2.0, 3.1.0, 3.2.0 | ~$140K/yr (direct: $228K cap x 0.5 FTE = $114K base + ~25% fringe + 15% OH = ~$140K; Rungs 2/3 above cap from unrestricted funds)</t>
        </is>
      </c>
      <c r="F9" s="220" t="n"/>
      <c r="G9" s="88" t="n">
        <v>1560</v>
      </c>
      <c r="H9" s="89" t="inlineStr">
        <is>
          <t>1.1.0, 1.2.0, 2.1.0, 2.2.0, 3.1.0, 3.2.0</t>
        </is>
      </c>
      <c r="I9" s="220" t="n"/>
      <c r="J9" s="88" t="n">
        <v>2080</v>
      </c>
      <c r="K9" s="89" t="inlineStr">
        <is>
          <t>1.1.0, 1.2.0, 2.1.0, 2.2.0, 3.1.0, 3.2.0</t>
        </is>
      </c>
    </row>
    <row r="10">
      <c r="A10" s="91" t="inlineStr">
        <is>
          <t>Software &amp; Systems Architect (required per Appendix A §5.5)</t>
        </is>
      </c>
      <c r="B10" s="91" t="inlineStr">
        <is>
          <t>TBD Cytognosis hire (Elham Jebalbarezi Sarbijan — IPAI interim placeholder)</t>
        </is>
      </c>
      <c r="C10" s="87" t="inlineStr">
        <is>
          <t>Cytognosis Foundation</t>
        </is>
      </c>
      <c r="D10" s="88" t="n">
        <v>3120</v>
      </c>
      <c r="E10" s="89" t="inlineStr">
        <is>
          <t>1.1.0, 1.2.0, 1.3.0, 2.1.0-2.5.0, 3.1.0-3.5.0 — interoperability, LinkML/Biolink, open-source release, infra | ~$250K/yr loaded (base ~$200K &lt; $228K cap; verify at hire)</t>
        </is>
      </c>
      <c r="F10" s="220" t="n"/>
      <c r="G10" s="88" t="n">
        <v>3120</v>
      </c>
      <c r="H10" s="89" t="inlineStr">
        <is>
          <t>1.1.0, 1.2.0, 1.3.0, 2.1.0-2.5.0, 3.1.0-3.5.0 — interoperability, LinkML/Biolink, open-source release, infra</t>
        </is>
      </c>
      <c r="I10" s="220" t="n"/>
      <c r="J10" s="88" t="n">
        <v>4160</v>
      </c>
      <c r="K10" s="89" t="inlineStr">
        <is>
          <t>1.1.0, 1.2.0, 1.3.0, 2.1.0-2.5.0, 3.1.0-3.5.0 — interoperability, LinkML/Biolink, open-source release, infra</t>
        </is>
      </c>
    </row>
    <row r="11">
      <c r="A11" s="91" t="inlineStr">
        <is>
          <t>Project Manager (PM; ~0.3 FTE; Appendix A §5.5)</t>
        </is>
      </c>
      <c r="B11" s="91" t="inlineStr">
        <is>
          <t>Patricia Purcell (Cytognosis hire)</t>
        </is>
      </c>
      <c r="C11" s="87" t="inlineStr">
        <is>
          <t>Cytognosis Foundation</t>
        </is>
      </c>
      <c r="D11" s="88" t="n">
        <v>936</v>
      </c>
      <c r="E11" s="89" t="inlineStr">
        <is>
          <t>1.5.0, 2.5.0, 3.5.0 — cross-TA coordination, delivery tracking, ARPA-H reporting, milestone docs | ~$80K/yr loaded (0.3 FTE at ~$200/hr burdened)</t>
        </is>
      </c>
      <c r="F11" s="220" t="n"/>
      <c r="G11" s="88" t="n">
        <v>936</v>
      </c>
      <c r="H11" s="89" t="inlineStr">
        <is>
          <t>1.5.0, 2.5.0, 3.5.0 — cross-TA coordination, delivery tracking, ARPA-H reporting, milestone docs</t>
        </is>
      </c>
      <c r="I11" s="220" t="n"/>
      <c r="J11" s="88" t="n">
        <v>1248</v>
      </c>
      <c r="K11" s="89" t="inlineStr">
        <is>
          <t>1.5.0, 2.5.0, 3.5.0 — cross-TA coordination, delivery tracking, ARPA-H reporting, milestone docs</t>
        </is>
      </c>
    </row>
    <row r="12">
      <c r="A12" s="91" t="inlineStr">
        <is>
          <t>Senior ML/AI Engineer (TA1)</t>
        </is>
      </c>
      <c r="B12" s="91" t="inlineStr">
        <is>
          <t>TBD Cytognosis hire</t>
        </is>
      </c>
      <c r="C12" s="87" t="inlineStr">
        <is>
          <t>Cytognosis Foundation</t>
        </is>
      </c>
      <c r="D12" s="88" t="n">
        <v>3120</v>
      </c>
      <c r="E12" s="89" t="inlineStr">
        <is>
          <t>1.1.1, 1.1.2, 1.2.1, 2.1.0, 3.1.0 — causal generative model (SCM); treatment-embedding language; graph-wavelet GNN | ~$260K/yr loaded (base ~$210K &lt; $228K cap; verify at hire)</t>
        </is>
      </c>
      <c r="F12" s="220" t="n"/>
      <c r="G12" s="88" t="n">
        <v>3120</v>
      </c>
      <c r="H12" s="89" t="inlineStr">
        <is>
          <t>1.1.1, 1.1.2, 1.2.1, 2.1.0, 3.1.0 — causal generative model (SCM); treatment-embedding language; graph-wavelet GNN</t>
        </is>
      </c>
      <c r="I12" s="220" t="n"/>
      <c r="J12" s="88" t="n">
        <v>4160</v>
      </c>
      <c r="K12" s="89" t="inlineStr">
        <is>
          <t>1.1.1, 1.1.2, 1.2.1, 2.1.0, 3.1.0 — causal generative model (SCM); treatment-embedding language; graph-wavelet GNN</t>
        </is>
      </c>
    </row>
    <row r="13">
      <c r="A13" s="91" t="inlineStr">
        <is>
          <t>ML Research Scientist — genomic factorization (TA1)</t>
        </is>
      </c>
      <c r="B13" s="91" t="inlineStr">
        <is>
          <t>TBD Cytognosis hire</t>
        </is>
      </c>
      <c r="C13" s="87" t="inlineStr">
        <is>
          <t>Cytognosis Foundation</t>
        </is>
      </c>
      <c r="D13" s="88" t="n">
        <v>3120</v>
      </c>
      <c r="E13" s="89" t="inlineStr">
        <is>
          <t>1.1.3, 1.1.4, 2.1.1, 3.1.1 — genomic FM initialization (AlphaGenome/VariantFormer); factorized-PRS; disease axes | ~$240K/yr loaded (base ~$195K &lt; $228K cap; verify at hire)</t>
        </is>
      </c>
      <c r="F13" s="220" t="n"/>
      <c r="G13" s="88" t="n">
        <v>3120</v>
      </c>
      <c r="H13" s="89" t="inlineStr">
        <is>
          <t>1.1.3, 1.1.4, 2.1.1, 3.1.1 — genomic FM initialization (AlphaGenome/VariantFormer); factorized-PRS; disease axes</t>
        </is>
      </c>
      <c r="I13" s="220" t="n"/>
      <c r="J13" s="88" t="n">
        <v>4160</v>
      </c>
      <c r="K13" s="89" t="inlineStr">
        <is>
          <t>1.1.3, 1.1.4, 2.1.1, 3.1.1 — genomic FM initialization (AlphaGenome/VariantFormer); factorized-PRS; disease axes</t>
        </is>
      </c>
    </row>
    <row r="14">
      <c r="A14" s="91" t="inlineStr">
        <is>
          <t>Computational Biologist #1 — cellular-clinical alignment (TA1)</t>
        </is>
      </c>
      <c r="B14" s="91" t="inlineStr">
        <is>
          <t>TBD Cytognosis hire</t>
        </is>
      </c>
      <c r="C14" s="87" t="inlineStr">
        <is>
          <t>Cytognosis Foundation</t>
        </is>
      </c>
      <c r="D14" s="88" t="n">
        <v>3120</v>
      </c>
      <c r="E14" s="89" t="inlineStr">
        <is>
          <t>1.1.3, 2.1.0, 3.1.0 — residual-space OT/MMD alignment; Cell Painting pipelines | ~$210K/yr loaded (base ~$170K &lt; $228K cap; verify at hire)</t>
        </is>
      </c>
      <c r="F14" s="220" t="n"/>
      <c r="G14" s="88" t="n">
        <v>3120</v>
      </c>
      <c r="H14" s="89" t="inlineStr">
        <is>
          <t>1.1.3, 2.1.0, 3.1.0 — residual-space OT/MMD alignment; Cell Painting pipelines</t>
        </is>
      </c>
      <c r="I14" s="220" t="n"/>
      <c r="J14" s="88" t="n">
        <v>4160</v>
      </c>
      <c r="K14" s="89" t="inlineStr">
        <is>
          <t>1.1.3, 2.1.0, 3.1.0 — residual-space OT/MMD alignment; Cell Painting pipelines</t>
        </is>
      </c>
    </row>
    <row r="15">
      <c r="A15" s="91" t="inlineStr">
        <is>
          <t>Computational Biologist #2 — bipolar extension (TA1; ramps in Phase II)</t>
        </is>
      </c>
      <c r="B15" s="91" t="inlineStr">
        <is>
          <t>TBD Cytognosis hire</t>
        </is>
      </c>
      <c r="C15" s="87" t="inlineStr">
        <is>
          <t>Cytognosis Foundation</t>
        </is>
      </c>
      <c r="D15" s="88" t="n">
        <v>0</v>
      </c>
      <c r="E15" s="89" t="inlineStr">
        <is>
          <t>2.1.2, 3.1.1, 3.1.2 — bipolar disorder data integration; TransBox ontology embeddings + OOD head; scale-out | ~$210K/yr loaded (base ~$170K &lt; $228K cap; verify at hire; Phase I = 0 FTE)</t>
        </is>
      </c>
      <c r="F15" s="220" t="n"/>
      <c r="G15" s="88" t="n">
        <v>3120</v>
      </c>
      <c r="H15" s="89" t="inlineStr">
        <is>
          <t>2.1.2, 3.1.1, 3.1.2 — bipolar disorder data integration; TransBox ontology embeddings + OOD head; scale-out</t>
        </is>
      </c>
      <c r="I15" s="220" t="n"/>
      <c r="J15" s="88" t="n">
        <v>4160</v>
      </c>
      <c r="K15" s="89" t="inlineStr">
        <is>
          <t>2.1.2, 3.1.1, 3.1.2 — bipolar disorder data integration; TransBox ontology embeddings + OOD head; scale-out</t>
        </is>
      </c>
    </row>
    <row r="16">
      <c r="A16" s="91" t="inlineStr">
        <is>
          <t>Research Scientist — eval (TA1-TA2 evaluation)</t>
        </is>
      </c>
      <c r="B16" s="91" t="inlineStr">
        <is>
          <t>TBD Cytognosis hire</t>
        </is>
      </c>
      <c r="C16" s="87" t="inlineStr">
        <is>
          <t>Cytognosis Foundation</t>
        </is>
      </c>
      <c r="D16" s="88" t="n">
        <v>3120</v>
      </c>
      <c r="E16" s="89" t="inlineStr">
        <is>
          <t>1.2.1, 1.2.2, 2.2.2, 3.2.2 — hypothesis-tournament eval; VOI scoring; benchmarks; usability study support | ~$120K/yr loaded (junior role; base ~$95K &lt; $228K cap; verify at hire)</t>
        </is>
      </c>
      <c r="F16" s="220" t="n"/>
      <c r="G16" s="88" t="n">
        <v>3120</v>
      </c>
      <c r="H16" s="89" t="inlineStr">
        <is>
          <t>1.2.1, 1.2.2, 2.2.2, 3.2.2 — hypothesis-tournament eval; VOI scoring; benchmarks; usability study support</t>
        </is>
      </c>
      <c r="I16" s="220" t="n"/>
      <c r="J16" s="88" t="n">
        <v>4160</v>
      </c>
      <c r="K16" s="89" t="inlineStr">
        <is>
          <t>1.2.1, 1.2.2, 2.2.2, 3.2.2 — hypothesis-tournament eval; VOI scoring; benchmarks; usability study support</t>
        </is>
      </c>
    </row>
    <row r="17">
      <c r="A17" s="221" t="inlineStr">
        <is>
          <t>*** SALARY CAP (Cytognosis) ***</t>
        </is>
      </c>
      <c r="B17" s="91" t="inlineStr">
        <is>
          <t>Shahin Mohammadi: direct salary at $228K HHS Exec Level II cap x 0.5 FTE = ~$114K/yr base; Rungs 2/3 above cap from unrestricted funds only. SWE/Architect base ~$200K; Senior ML/AI base ~$210K; ML Research Scientist base ~$195K; Comp Bio x2 base ~$170K; Research Scientist Eval base ~$95K — ALL below $228K cap. Verify each hire's actual base at time of hire. Fringe ~25-30%; F&amp;A 15% de minimis (2 CFR 200.414(f)).</t>
        </is>
      </c>
      <c r="C17" s="87" t="n"/>
      <c r="D17" s="88" t="n"/>
      <c r="E17" s="89" t="n"/>
      <c r="F17" s="220" t="n"/>
      <c r="G17" s="88" t="n"/>
      <c r="H17" s="89" t="n"/>
      <c r="I17" s="220" t="n"/>
      <c r="J17" s="88" t="n"/>
      <c r="K17" s="89" t="n"/>
    </row>
    <row r="18">
      <c r="A18" s="221" t="inlineStr">
        <is>
          <t>--- ORG-LEVEL TOTALS (all other performers) ---</t>
        </is>
      </c>
      <c r="B18" s="91" t="n"/>
      <c r="C18" s="87" t="n"/>
      <c r="D18" s="88" t="n"/>
      <c r="E18" s="89" t="n"/>
      <c r="F18" s="220" t="n"/>
      <c r="G18" s="88" t="n"/>
      <c r="H18" s="89" t="n"/>
      <c r="I18" s="220" t="n"/>
      <c r="J18" s="88" t="n"/>
      <c r="K18" s="89" t="n"/>
    </row>
    <row r="19">
      <c r="A19" s="91" t="inlineStr">
        <is>
          <t>Purdue/IPAI computational (TA1+TA2 engine)</t>
        </is>
      </c>
      <c r="B19" s="91" t="inlineStr">
        <is>
          <t>Ananth Grama (PI; ~$320K base -&gt; $228K cap x 0.25); Anne Carpenter (TA1 co-lead; ~$300K base -&gt; $228K cap x 0.25); PhD students x2-3; research engineers x2; disease-modeling postdoc</t>
        </is>
      </c>
      <c r="C19" s="87" t="inlineStr">
        <is>
          <t>Purdue University / IPAI</t>
        </is>
      </c>
      <c r="D19" s="88" t="n">
        <v>2520</v>
      </c>
      <c r="E19" s="89" t="inlineStr">
        <is>
          <t>1.1.0, 1.2.0 (Grama + Carpenter + students/engineers)</t>
        </is>
      </c>
      <c r="F19" s="220" t="n"/>
      <c r="G19" s="88" t="n">
        <v>3000</v>
      </c>
      <c r="H19" s="89" t="inlineStr">
        <is>
          <t>2.1.0, 2.2.0</t>
        </is>
      </c>
      <c r="I19" s="220" t="n"/>
      <c r="J19" s="88" t="n">
        <v>3600</v>
      </c>
      <c r="K19" s="89" t="inlineStr">
        <is>
          <t>3.1.0, 3.2.0</t>
        </is>
      </c>
    </row>
    <row r="20">
      <c r="A20" s="91" t="inlineStr">
        <is>
          <t>Purdue — Tegtmeyer Lab (TA4-academic + TA1 contrib.)</t>
        </is>
      </c>
      <c r="B20" s="91" t="inlineStr">
        <is>
          <t>Matthew Tegtmeyer (lead; ~$220K — verify vs $228K cap as base may increase); iPSC postdoc; assay-methods PhD; lab tech; RAs x1-2</t>
        </is>
      </c>
      <c r="C20" s="87" t="inlineStr">
        <is>
          <t>Purdue University — Tegtmeyer Lab</t>
        </is>
      </c>
      <c r="D20" s="88" t="n">
        <v>2520</v>
      </c>
      <c r="E20" s="89" t="inlineStr">
        <is>
          <t>1.4.1, 1.5.0 (Tegtmeyer + postdoc + PhD + tech + RAs)</t>
        </is>
      </c>
      <c r="F20" s="220" t="n"/>
      <c r="G20" s="88" t="n">
        <v>2520</v>
      </c>
      <c r="H20" s="89" t="inlineStr">
        <is>
          <t>2.4.0, 2.5.0</t>
        </is>
      </c>
      <c r="I20" s="220" t="n"/>
      <c r="J20" s="88" t="n">
        <v>3360</v>
      </c>
      <c r="K20" s="89" t="inlineStr">
        <is>
          <t>3.4.0, 3.5.0</t>
        </is>
      </c>
    </row>
    <row r="21">
      <c r="A21" s="91" t="inlineStr">
        <is>
          <t>SIFT (TA2-TA3 + TA3 + TA3-TA4)</t>
        </is>
      </c>
      <c r="B21" s="91" t="inlineStr">
        <is>
          <t>Dan Bryce (lead ~70%); Robert Goldman (advisory ~30%); ~2-3 FTE; 24,204 total hrs over 5 yr [Dan's figure]. DL $4,094,437 / indirect $2,199,941 / travel $69,747 / fee $636,412 = $7.0M total</t>
        </is>
      </c>
      <c r="C21" s="87" t="inlineStr">
        <is>
          <t>SIFT (Smart Information Flow Technologies)</t>
        </is>
      </c>
      <c r="D21" s="88" t="n">
        <v>7261</v>
      </c>
      <c r="E21" s="89" t="inlineStr">
        <is>
          <t>1.2.3, 1.3.0-1.3.3 (SIFT ~70% Bryce / 30% Goldman)</t>
        </is>
      </c>
      <c r="F21" s="220" t="n"/>
      <c r="G21" s="88" t="n">
        <v>7261</v>
      </c>
      <c r="H21" s="89" t="inlineStr">
        <is>
          <t>2.3.0-2.3.2, 2.5.0</t>
        </is>
      </c>
      <c r="I21" s="220" t="n"/>
      <c r="J21" s="88" t="n">
        <v>9682</v>
      </c>
      <c r="K21" s="89" t="inlineStr">
        <is>
          <t>3.3.0-3.3.3, 3.5.0</t>
        </is>
      </c>
    </row>
    <row r="22">
      <c r="A22" s="91" t="inlineStr">
        <is>
          <t>Cellanome (TA4-industry)</t>
        </is>
      </c>
      <c r="B22" s="91" t="inlineStr">
        <is>
          <t>TA4-industry lead (name TBD); R3200 RENT-and-run; commercial loaded rate</t>
        </is>
      </c>
      <c r="C22" s="87" t="inlineStr">
        <is>
          <t>Cellanome</t>
        </is>
      </c>
      <c r="D22" s="88" t="n">
        <v>2080</v>
      </c>
      <c r="E22" s="89" t="inlineStr">
        <is>
          <t>1.4.2, 1.4.3 (Cellanome TA4 team)</t>
        </is>
      </c>
      <c r="F22" s="220" t="n"/>
      <c r="G22" s="88" t="n">
        <v>2520</v>
      </c>
      <c r="H22" s="89" t="inlineStr">
        <is>
          <t>2.4.0, 2.4.2</t>
        </is>
      </c>
      <c r="I22" s="220" t="n"/>
      <c r="J22" s="88" t="n">
        <v>3360</v>
      </c>
      <c r="K22" s="89" t="inlineStr">
        <is>
          <t>3.4.0, 3.4.1</t>
        </is>
      </c>
    </row>
    <row r="23">
      <c r="A23" s="91" t="inlineStr">
        <is>
          <t>McLean / HMS — clinical + data governance</t>
        </is>
      </c>
      <c r="B23" s="91" t="inlineStr">
        <is>
          <t>W. Brad Ruzicka (PI; ~$250K base -&gt; $228K cap x 0.20 FTE = ~$45.6K/yr charged; McLean covers remainder)</t>
        </is>
      </c>
      <c r="C23" s="87" t="inlineStr">
        <is>
          <t>McLean Hospital / Harvard Medical School</t>
        </is>
      </c>
      <c r="D23" s="88" t="n">
        <v>624</v>
      </c>
      <c r="E23" s="89" t="inlineStr">
        <is>
          <t>1.1.0, 1.5.0 — clinical cohort + data governance</t>
        </is>
      </c>
      <c r="F23" s="220" t="n"/>
      <c r="G23" s="88" t="n">
        <v>624</v>
      </c>
      <c r="H23" s="89" t="inlineStr">
        <is>
          <t>2.1.2, 2.5.0</t>
        </is>
      </c>
      <c r="I23" s="220" t="n"/>
      <c r="J23" s="88" t="n">
        <v>832</v>
      </c>
      <c r="K23" s="89" t="inlineStr">
        <is>
          <t>3.1.3, 3.5.0</t>
        </is>
      </c>
    </row>
    <row r="24">
      <c r="A24" s="91" t="inlineStr">
        <is>
          <t>Duane Valz — legal/IP (hourly consultant via Cytognosis)</t>
        </is>
      </c>
      <c r="B24" s="91" t="inlineStr">
        <is>
          <t>~$750/hr; ~150-300 hrs over 5 yr = ~$0.15-0.25M. NOT key personnel. Scope: OT review, IP/field-of-use, subaward/NDA, OSS licensing.</t>
        </is>
      </c>
      <c r="C24" s="87" t="inlineStr">
        <is>
          <t>Independent consultant (billed via Cytognosis)</t>
        </is>
      </c>
      <c r="D24" s="88" t="n">
        <v>120</v>
      </c>
      <c r="E24" s="89" t="inlineStr">
        <is>
          <t>1.5.0 — OT agreement review, NDA, field-of-use strategy (~80-120 hrs Phase I)</t>
        </is>
      </c>
      <c r="F24" s="220" t="n"/>
      <c r="G24" s="88" t="n">
        <v>80</v>
      </c>
      <c r="H24" s="89" t="inlineStr">
        <is>
          <t>2.5.0 — IP strategy, OSS licensing review (~60-80 hrs Phase II)</t>
        </is>
      </c>
      <c r="I24" s="220" t="n"/>
      <c r="J24" s="88" t="n">
        <v>80</v>
      </c>
      <c r="K24" s="89" t="inlineStr">
        <is>
          <t>3.5.0 — IP disposition, open-access certification (~60-80 hrs Phase III)</t>
        </is>
      </c>
    </row>
    <row r="25">
      <c r="A25" s="91" t="inlineStr">
        <is>
          <t>Shared Program Compute (program ODC line; not staff labor)</t>
        </is>
      </c>
      <c r="B25" s="91" t="inlineStr">
        <is>
          <t>GPU/cloud for TA1 model + TA2 engine ($2.5M, 5-yr program line). Hours = 0 (ODC, not labor). Partially shiftable to IPAI HPC in-kind (Anvil/Brown ~$2.0M).</t>
        </is>
      </c>
      <c r="C25" s="87" t="inlineStr">
        <is>
          <t>Program line (IPAI + Cytognosis joint management)</t>
        </is>
      </c>
      <c r="D25" s="88" t="n">
        <v>0</v>
      </c>
      <c r="E25" s="89" t="inlineStr">
        <is>
          <t>1.1.0, 1.2.0 — model training + engine inference compute</t>
        </is>
      </c>
      <c r="F25" s="220" t="n"/>
      <c r="G25" s="88" t="n">
        <v>0</v>
      </c>
      <c r="H25" s="89" t="inlineStr">
        <is>
          <t>2.1.0, 2.2.0</t>
        </is>
      </c>
      <c r="I25" s="220" t="n"/>
      <c r="J25" s="88" t="n">
        <v>0</v>
      </c>
      <c r="K25" s="89" t="inlineStr">
        <is>
          <t>3.1.0, 3.2.0</t>
        </is>
      </c>
    </row>
    <row r="26">
      <c r="A26" s="91" t="inlineStr">
        <is>
          <t>TA4 Sequencing CRO (service subaward; not staff labor)</t>
        </is>
      </c>
      <c r="B26" s="91" t="inlineStr">
        <is>
          <t>scRNA-seq + Perturb-seq sequencing (~$2.0M, 5-yr). Hours = 0 (service, not labor). Illumina optional in-kind (PCX partnership).</t>
        </is>
      </c>
      <c r="C26" s="87" t="inlineStr">
        <is>
          <t>TA4 Sequencing CRO (to be named)</t>
        </is>
      </c>
      <c r="D26" s="88" t="n">
        <v>0</v>
      </c>
      <c r="E26" s="89" t="inlineStr">
        <is>
          <t>1.4.3 — Phase I sequencing QC validation</t>
        </is>
      </c>
      <c r="F26" s="220" t="n"/>
      <c r="G26" s="88" t="n">
        <v>0</v>
      </c>
      <c r="H26" s="89" t="inlineStr">
        <is>
          <t>2.4.0 — Stage 2 Perturb-seq sequencing</t>
        </is>
      </c>
      <c r="I26" s="220" t="n"/>
      <c r="J26" s="88" t="n">
        <v>0</v>
      </c>
      <c r="K26" s="89" t="inlineStr">
        <is>
          <t>3.4.0 — Stage 3 combinatorial sequencing</t>
        </is>
      </c>
    </row>
    <row r="27">
      <c r="A27" s="222" t="inlineStr">
        <is>
          <t>*** ACTION REQUIRED — ANANTH + PURDUE SPS ***</t>
        </is>
      </c>
      <c r="B27" s="222" t="inlineStr">
        <is>
          <t>*** PENDING — ANANTH GRAMA + PURDUE SPS REQUIRED: per-person labor rates for Purdue/IPAI (Grama, Carpenter, PhD students, postdocs, engineers), Purdue Tegtmeyer lab (Tegtmeyer + students/postdocs/techs), SIFT (Bryce + Goldman; commercial sub salary-cap treatment per Duane Valz + Purdue contracts), and Cellanome (commercial sub; salary-cap treatment same question). Needed: headcount per role, loaded locality-adjusted rates (Bay Area vs West Lafayette per BLS/OEWS), and confirmation that commercial subs' direct-salary components comply with $228K HHS Exec Level II cap. ORG-LEVEL 5-yr totals are locked (see rows below); PER-PERSON breakdown is the open item. ***</t>
        </is>
      </c>
      <c r="C27" s="223" t="n"/>
      <c r="D27" s="224" t="n"/>
      <c r="E27" s="225" t="n"/>
      <c r="F27" s="226" t="n"/>
      <c r="G27" s="224" t="n"/>
      <c r="H27" s="225" t="n"/>
      <c r="I27" s="226" t="n"/>
      <c r="J27" s="224" t="n"/>
      <c r="K27" s="225" t="n"/>
    </row>
    <row r="28">
      <c r="A28" s="221" t="inlineStr">
        <is>
          <t>*** PHASE-LEVEL BUDGET TOTALS (planning; C.4 controlling) ***</t>
        </is>
      </c>
      <c r="B28" s="91" t="inlineStr">
        <is>
          <t>ARPA-H total ~2.9M. Phase I ~1.5M | Phase II ~3.1M | Phase III ~8.4M. Per-performer 5-yr: Purdue/IPAI-comp .5M | Purdue-Tegtmeyer .0M | Cytognosis .5M | SIFT .0M (DL .09M + indirect .20M + fee /bin/bash.64M + travel /bin/bash.07M) | Cellanome .0M | McLean /bin/bash.7M | Duane /bin/bash.2M | Shared-compute .5M | Sequencing-CRO .0M | Integration/reserve .5M = 2.9M. Resource sharing (in-kind, SEPARATE from ask): ~.3M (IPAI HPC ~.0M + Purdue wet-lab ~/bin/bash.15M + Cellanome credits ~/bin/bash.16M). Total project value ~5.2M. Salary cap: 28K HHS Exec Level II (NIH NOT-OD-26-034; 2026 obligations). VERIFICATION: this workbook contains NO stale fifty-million-dollar figures -- total is ~2.9M.</t>
        </is>
      </c>
      <c r="C28" s="87" t="n"/>
      <c r="D28" s="88" t="n"/>
      <c r="E28" s="89" t="n"/>
      <c r="F28" s="220" t="n"/>
      <c r="G28" s="88" t="n"/>
      <c r="H28" s="89" t="n"/>
      <c r="I28" s="220" t="n"/>
      <c r="J28" s="88" t="n"/>
      <c r="K28" s="89" t="n"/>
    </row>
    <row r="29">
      <c r="A29" s="91" t="n"/>
      <c r="B29" s="91" t="n"/>
      <c r="C29" s="87" t="n"/>
      <c r="D29" s="88" t="n"/>
      <c r="E29" s="89" t="n"/>
      <c r="F29" s="220" t="n"/>
      <c r="G29" s="88" t="n"/>
      <c r="H29" s="89" t="n"/>
      <c r="I29" s="220" t="n"/>
      <c r="J29" s="88" t="n"/>
      <c r="K29" s="89" t="n"/>
    </row>
    <row r="30">
      <c r="A30" s="91" t="n"/>
      <c r="B30" s="91" t="n"/>
      <c r="C30" s="87" t="n"/>
      <c r="D30" s="88" t="n"/>
      <c r="E30" s="89" t="n"/>
      <c r="F30" s="220" t="n"/>
      <c r="G30" s="88" t="n"/>
      <c r="H30" s="89" t="n"/>
      <c r="I30" s="220" t="n"/>
      <c r="J30" s="88" t="n"/>
      <c r="K30" s="89" t="n"/>
    </row>
    <row r="31">
      <c r="A31" s="91" t="n"/>
      <c r="B31" s="91" t="n"/>
      <c r="C31" s="87" t="n"/>
      <c r="D31" s="88" t="n"/>
      <c r="E31" s="89" t="n"/>
      <c r="F31" s="220" t="n"/>
      <c r="G31" s="88" t="n"/>
      <c r="H31" s="89" t="n"/>
      <c r="I31" s="220" t="n"/>
      <c r="J31" s="88" t="n"/>
      <c r="K31" s="89" t="n"/>
    </row>
    <row r="32">
      <c r="A32" s="91" t="n"/>
      <c r="B32" s="91" t="n"/>
      <c r="C32" s="87" t="n"/>
      <c r="D32" s="88" t="n"/>
      <c r="E32" s="89" t="n"/>
      <c r="F32" s="220" t="n"/>
      <c r="G32" s="88" t="n"/>
      <c r="H32" s="89" t="n"/>
      <c r="I32" s="220" t="n"/>
      <c r="J32" s="88" t="n"/>
      <c r="K32" s="89" t="n"/>
    </row>
    <row r="33">
      <c r="A33" s="91" t="n"/>
      <c r="B33" s="91" t="n"/>
      <c r="C33" s="87" t="n"/>
      <c r="D33" s="88" t="n"/>
      <c r="E33" s="89" t="n"/>
      <c r="F33" s="220" t="n"/>
      <c r="G33" s="88" t="n"/>
      <c r="H33" s="89" t="n"/>
      <c r="I33" s="220" t="n"/>
      <c r="J33" s="88" t="n"/>
      <c r="K33" s="89" t="n"/>
    </row>
    <row r="34">
      <c r="A34" s="91" t="n"/>
      <c r="B34" s="91" t="n"/>
      <c r="C34" s="87" t="n"/>
      <c r="D34" s="88" t="n"/>
      <c r="E34" s="89" t="n"/>
      <c r="F34" s="220" t="n"/>
      <c r="G34" s="88" t="n"/>
      <c r="H34" s="89" t="n"/>
      <c r="I34" s="220" t="n"/>
      <c r="J34" s="88" t="n"/>
      <c r="K34" s="89" t="n"/>
    </row>
    <row r="35">
      <c r="A35" s="91" t="n"/>
      <c r="B35" s="91" t="n"/>
      <c r="C35" s="87" t="n"/>
      <c r="D35" s="88" t="n"/>
      <c r="E35" s="89" t="n"/>
      <c r="F35" s="220" t="n"/>
      <c r="G35" s="88" t="n"/>
      <c r="H35" s="89" t="n"/>
      <c r="I35" s="220" t="n"/>
      <c r="J35" s="88" t="n"/>
      <c r="K35" s="89" t="n"/>
    </row>
    <row r="36">
      <c r="A36" s="91" t="n"/>
      <c r="B36" s="91" t="n"/>
      <c r="C36" s="87" t="n"/>
      <c r="D36" s="88" t="n"/>
      <c r="E36" s="89" t="n"/>
      <c r="F36" s="220" t="n"/>
      <c r="G36" s="88" t="n"/>
      <c r="H36" s="89" t="n"/>
      <c r="I36" s="220" t="n"/>
      <c r="J36" s="88" t="n"/>
      <c r="K36" s="89" t="n"/>
    </row>
    <row r="37">
      <c r="A37" s="91" t="n"/>
      <c r="B37" s="91" t="n"/>
      <c r="C37" s="87" t="n"/>
      <c r="D37" s="88" t="n"/>
      <c r="E37" s="89" t="n"/>
      <c r="F37" s="220" t="n"/>
      <c r="G37" s="88" t="n"/>
      <c r="H37" s="89" t="n"/>
      <c r="I37" s="220" t="n"/>
      <c r="J37" s="88" t="n"/>
      <c r="K37" s="89" t="n"/>
    </row>
    <row r="38">
      <c r="A38" s="91" t="n"/>
      <c r="B38" s="91" t="n"/>
      <c r="C38" s="87" t="n"/>
      <c r="D38" s="88" t="n"/>
      <c r="E38" s="89" t="n"/>
      <c r="F38" s="220" t="n"/>
      <c r="G38" s="88" t="n"/>
      <c r="H38" s="89" t="n"/>
      <c r="I38" s="220" t="n"/>
      <c r="J38" s="88" t="n"/>
      <c r="K38" s="89" t="n"/>
    </row>
    <row r="39">
      <c r="A39" s="91" t="n"/>
      <c r="B39" s="91" t="n"/>
      <c r="C39" s="87" t="n"/>
      <c r="D39" s="88" t="n"/>
      <c r="E39" s="89" t="n"/>
      <c r="F39" s="220" t="n"/>
      <c r="G39" s="88" t="n"/>
      <c r="H39" s="89" t="n"/>
      <c r="I39" s="220" t="n"/>
      <c r="J39" s="88" t="n"/>
      <c r="K39" s="89" t="n"/>
    </row>
    <row r="40">
      <c r="A40" s="91" t="n"/>
      <c r="B40" s="91" t="n"/>
      <c r="C40" s="87" t="n"/>
      <c r="D40" s="88" t="n"/>
      <c r="E40" s="89" t="n"/>
      <c r="F40" s="220" t="n"/>
      <c r="G40" s="88" t="n"/>
      <c r="H40" s="89" t="n"/>
      <c r="I40" s="220" t="n"/>
      <c r="J40" s="88" t="n"/>
      <c r="K40" s="89" t="n"/>
    </row>
    <row r="41">
      <c r="A41" s="91" t="n"/>
      <c r="B41" s="91" t="n"/>
      <c r="C41" s="87" t="n"/>
      <c r="D41" s="88" t="n"/>
      <c r="E41" s="89" t="n"/>
      <c r="F41" s="220" t="n"/>
      <c r="G41" s="88" t="n"/>
      <c r="H41" s="89" t="n"/>
      <c r="I41" s="220" t="n"/>
      <c r="J41" s="88" t="n"/>
      <c r="K41" s="89" t="n"/>
    </row>
    <row r="42">
      <c r="A42" s="91" t="n"/>
      <c r="B42" s="91" t="n"/>
      <c r="C42" s="87" t="n"/>
      <c r="D42" s="88" t="n"/>
      <c r="E42" s="89" t="n"/>
      <c r="F42" s="220" t="n"/>
      <c r="G42" s="88" t="n"/>
      <c r="H42" s="89" t="n"/>
      <c r="I42" s="220" t="n"/>
      <c r="J42" s="88" t="n"/>
      <c r="K42" s="89" t="n"/>
    </row>
    <row r="43">
      <c r="A43" s="91" t="n"/>
      <c r="B43" s="91" t="n"/>
      <c r="C43" s="87" t="n"/>
      <c r="D43" s="88" t="n"/>
      <c r="E43" s="89" t="n"/>
      <c r="F43" s="220" t="n"/>
      <c r="G43" s="88" t="n"/>
      <c r="H43" s="89" t="n"/>
      <c r="I43" s="220" t="n"/>
      <c r="J43" s="88" t="n"/>
      <c r="K43" s="89" t="n"/>
    </row>
    <row r="44">
      <c r="A44" s="91" t="n"/>
      <c r="B44" s="91" t="n"/>
      <c r="C44" s="87" t="n"/>
      <c r="D44" s="88" t="n"/>
      <c r="E44" s="89" t="n"/>
      <c r="F44" s="220" t="n"/>
      <c r="G44" s="88" t="n"/>
      <c r="H44" s="89" t="n"/>
      <c r="I44" s="220" t="n"/>
      <c r="J44" s="88" t="n"/>
      <c r="K44" s="89" t="n"/>
    </row>
    <row r="45">
      <c r="A45" s="91" t="n"/>
      <c r="B45" s="91" t="n"/>
      <c r="C45" s="87" t="n"/>
      <c r="D45" s="88" t="n"/>
      <c r="E45" s="89" t="n"/>
      <c r="F45" s="220" t="n"/>
      <c r="G45" s="88" t="n"/>
      <c r="H45" s="89" t="n"/>
      <c r="I45" s="220" t="n"/>
      <c r="J45" s="88" t="n"/>
      <c r="K45" s="89" t="n"/>
    </row>
    <row r="46">
      <c r="A46" s="91" t="n"/>
      <c r="B46" s="91" t="n"/>
      <c r="C46" s="87" t="n"/>
      <c r="D46" s="88" t="n"/>
      <c r="E46" s="89" t="n"/>
      <c r="F46" s="220" t="n"/>
      <c r="G46" s="88" t="n"/>
      <c r="H46" s="89" t="n"/>
      <c r="I46" s="220" t="n"/>
      <c r="J46" s="88" t="n"/>
      <c r="K46" s="89" t="n"/>
    </row>
    <row r="47">
      <c r="A47" s="91" t="n"/>
      <c r="B47" s="91" t="n"/>
      <c r="C47" s="87" t="n"/>
      <c r="D47" s="88" t="n"/>
      <c r="E47" s="89" t="n"/>
      <c r="F47" s="220" t="n"/>
      <c r="G47" s="88" t="n"/>
      <c r="H47" s="89" t="n"/>
      <c r="I47" s="220" t="n"/>
      <c r="J47" s="88" t="n"/>
      <c r="K47" s="89" t="n"/>
    </row>
    <row r="48">
      <c r="A48" s="91" t="n"/>
      <c r="B48" s="91" t="n"/>
      <c r="C48" s="87" t="n"/>
      <c r="D48" s="88" t="n"/>
      <c r="E48" s="89" t="n"/>
      <c r="F48" s="220" t="n"/>
      <c r="G48" s="88" t="n"/>
      <c r="H48" s="89" t="n"/>
      <c r="I48" s="220" t="n"/>
      <c r="J48" s="88" t="n"/>
      <c r="K48" s="89" t="n"/>
    </row>
    <row r="49">
      <c r="A49" s="91" t="n"/>
      <c r="B49" s="91" t="n"/>
      <c r="C49" s="87" t="n"/>
      <c r="D49" s="88" t="n"/>
      <c r="E49" s="89" t="n"/>
      <c r="F49" s="220" t="n"/>
      <c r="G49" s="88" t="n"/>
      <c r="H49" s="89" t="n"/>
      <c r="I49" s="220" t="n"/>
      <c r="J49" s="88" t="n"/>
      <c r="K49" s="89" t="n"/>
    </row>
    <row r="50">
      <c r="A50" s="91" t="n"/>
      <c r="B50" s="91" t="n"/>
      <c r="C50" s="87" t="n"/>
      <c r="D50" s="88" t="n"/>
      <c r="E50" s="89" t="n"/>
      <c r="F50" s="220" t="n"/>
      <c r="G50" s="88" t="n"/>
      <c r="H50" s="89" t="n"/>
      <c r="I50" s="220" t="n"/>
      <c r="J50" s="88" t="n"/>
      <c r="K50" s="89" t="n"/>
    </row>
    <row r="51">
      <c r="A51" s="91" t="n"/>
      <c r="B51" s="91" t="n"/>
      <c r="C51" s="87" t="n"/>
      <c r="D51" s="88" t="n"/>
      <c r="E51" s="89" t="n"/>
      <c r="F51" s="220" t="n"/>
      <c r="G51" s="88" t="n"/>
      <c r="H51" s="89" t="n"/>
      <c r="I51" s="220" t="n"/>
      <c r="J51" s="88" t="n"/>
      <c r="K51" s="89" t="n"/>
    </row>
    <row r="52">
      <c r="A52" s="91" t="n"/>
      <c r="B52" s="91" t="n"/>
      <c r="C52" s="87" t="n"/>
      <c r="D52" s="88" t="n"/>
      <c r="E52" s="89" t="n"/>
      <c r="F52" s="220" t="n"/>
      <c r="G52" s="88" t="n"/>
      <c r="H52" s="89" t="n"/>
      <c r="I52" s="220" t="n"/>
      <c r="J52" s="88" t="n"/>
      <c r="K52" s="89" t="n"/>
    </row>
    <row r="53">
      <c r="A53" s="91" t="n"/>
      <c r="B53" s="91" t="n"/>
      <c r="C53" s="87" t="n"/>
      <c r="D53" s="88" t="n"/>
      <c r="E53" s="89" t="n"/>
      <c r="F53" s="220" t="n"/>
      <c r="G53" s="88" t="n"/>
      <c r="H53" s="89" t="n"/>
      <c r="I53" s="220" t="n"/>
      <c r="J53" s="88" t="n"/>
      <c r="K53" s="89" t="n"/>
    </row>
    <row r="54">
      <c r="A54" s="91" t="n"/>
      <c r="B54" s="91" t="n"/>
      <c r="C54" s="87" t="n"/>
      <c r="D54" s="88" t="n"/>
      <c r="E54" s="89" t="n"/>
      <c r="F54" s="220" t="n"/>
      <c r="G54" s="88" t="n"/>
      <c r="H54" s="89" t="n"/>
      <c r="I54" s="220" t="n"/>
      <c r="J54" s="88" t="n"/>
      <c r="K54" s="89" t="n"/>
    </row>
    <row r="55">
      <c r="A55" s="91" t="n"/>
      <c r="B55" s="91" t="n"/>
      <c r="C55" s="87" t="n"/>
      <c r="D55" s="88" t="n"/>
      <c r="E55" s="89" t="n"/>
      <c r="F55" s="220" t="n"/>
      <c r="G55" s="88" t="n"/>
      <c r="H55" s="89" t="n"/>
      <c r="I55" s="220" t="n"/>
      <c r="J55" s="88" t="n"/>
      <c r="K55" s="89" t="n"/>
    </row>
    <row r="56">
      <c r="A56" s="91" t="n"/>
      <c r="B56" s="91" t="n"/>
      <c r="C56" s="87" t="n"/>
      <c r="D56" s="88" t="n"/>
      <c r="E56" s="89" t="n"/>
      <c r="F56" s="220" t="n"/>
      <c r="G56" s="88" t="n"/>
      <c r="H56" s="89" t="n"/>
      <c r="I56" s="220" t="n"/>
      <c r="J56" s="88" t="n"/>
      <c r="K56" s="89" t="n"/>
    </row>
    <row r="57">
      <c r="A57" s="91" t="n"/>
      <c r="B57" s="91" t="n"/>
      <c r="C57" s="87" t="n"/>
      <c r="D57" s="88" t="n"/>
      <c r="E57" s="89" t="n"/>
      <c r="F57" s="220" t="n"/>
      <c r="G57" s="88" t="n"/>
      <c r="H57" s="89" t="n"/>
      <c r="I57" s="220" t="n"/>
      <c r="J57" s="88" t="n"/>
      <c r="K57" s="89" t="n"/>
    </row>
    <row r="58">
      <c r="A58" s="91" t="n"/>
      <c r="B58" s="91" t="n"/>
      <c r="C58" s="87" t="n"/>
      <c r="D58" s="88" t="n"/>
      <c r="E58" s="89" t="n"/>
      <c r="F58" s="220" t="n"/>
      <c r="G58" s="88" t="n"/>
      <c r="H58" s="89" t="n"/>
      <c r="I58" s="220" t="n"/>
      <c r="J58" s="88" t="n"/>
      <c r="K58" s="89" t="n"/>
    </row>
    <row r="59">
      <c r="A59" s="91" t="n"/>
      <c r="B59" s="91" t="n"/>
      <c r="C59" s="87" t="n"/>
      <c r="D59" s="88" t="n"/>
      <c r="E59" s="89" t="n"/>
      <c r="F59" s="220" t="n"/>
      <c r="G59" s="88" t="n"/>
      <c r="H59" s="89" t="n"/>
      <c r="I59" s="220" t="n"/>
      <c r="J59" s="88" t="n"/>
      <c r="K59" s="89" t="n"/>
    </row>
    <row r="60">
      <c r="A60" s="91" t="n"/>
      <c r="B60" s="91" t="n"/>
      <c r="C60" s="87" t="n"/>
      <c r="D60" s="88" t="n"/>
      <c r="E60" s="89" t="n"/>
      <c r="F60" s="220" t="n"/>
      <c r="G60" s="88" t="n"/>
      <c r="H60" s="89" t="n"/>
      <c r="I60" s="220" t="n"/>
      <c r="J60" s="88" t="n"/>
      <c r="K60" s="89" t="n"/>
    </row>
    <row r="61">
      <c r="A61" s="91" t="n"/>
      <c r="B61" s="91" t="n"/>
      <c r="C61" s="87" t="n"/>
      <c r="D61" s="88" t="n"/>
      <c r="E61" s="89" t="n"/>
      <c r="F61" s="220" t="n"/>
      <c r="G61" s="88" t="n"/>
      <c r="H61" s="89" t="n"/>
      <c r="I61" s="220" t="n"/>
      <c r="J61" s="88" t="n"/>
      <c r="K61" s="89" t="n"/>
    </row>
    <row r="62">
      <c r="A62" s="91" t="n"/>
      <c r="B62" s="91" t="n"/>
      <c r="C62" s="87" t="n"/>
      <c r="D62" s="88" t="n"/>
      <c r="E62" s="89" t="n"/>
      <c r="F62" s="220" t="n"/>
      <c r="G62" s="88" t="n"/>
      <c r="H62" s="89" t="n"/>
      <c r="I62" s="220" t="n"/>
      <c r="J62" s="88" t="n"/>
      <c r="K62" s="89" t="n"/>
    </row>
    <row r="63">
      <c r="A63" s="91" t="n"/>
      <c r="B63" s="91" t="n"/>
      <c r="C63" s="87" t="n"/>
      <c r="D63" s="88" t="n"/>
      <c r="E63" s="89" t="n"/>
      <c r="F63" s="220" t="n"/>
      <c r="G63" s="88" t="n"/>
      <c r="H63" s="89" t="n"/>
      <c r="I63" s="220" t="n"/>
      <c r="J63" s="88" t="n"/>
      <c r="K63" s="89" t="n"/>
    </row>
    <row r="64">
      <c r="A64" s="91" t="n"/>
      <c r="B64" s="91" t="n"/>
      <c r="C64" s="87" t="n"/>
      <c r="D64" s="88" t="n"/>
      <c r="E64" s="89" t="n"/>
      <c r="F64" s="220" t="n"/>
      <c r="G64" s="88" t="n"/>
      <c r="H64" s="89" t="n"/>
      <c r="I64" s="220" t="n"/>
      <c r="J64" s="88" t="n"/>
      <c r="K64" s="89" t="n"/>
    </row>
    <row r="65">
      <c r="A65" s="91" t="n"/>
      <c r="B65" s="91" t="n"/>
      <c r="C65" s="87" t="n"/>
      <c r="D65" s="88" t="n"/>
      <c r="E65" s="89" t="n"/>
      <c r="F65" s="220" t="n"/>
      <c r="G65" s="88" t="n"/>
      <c r="H65" s="89" t="n"/>
      <c r="I65" s="220" t="n"/>
      <c r="J65" s="88" t="n"/>
      <c r="K65" s="89" t="n"/>
    </row>
    <row r="66">
      <c r="A66" s="91" t="n"/>
      <c r="B66" s="91" t="n"/>
      <c r="C66" s="87" t="n"/>
      <c r="D66" s="88" t="n"/>
      <c r="E66" s="89" t="n"/>
      <c r="F66" s="220" t="n"/>
      <c r="G66" s="88" t="n"/>
      <c r="H66" s="89" t="n"/>
      <c r="I66" s="220" t="n"/>
      <c r="J66" s="88" t="n"/>
      <c r="K66" s="89" t="n"/>
    </row>
    <row r="67">
      <c r="A67" s="91" t="n"/>
      <c r="B67" s="91" t="n"/>
      <c r="C67" s="87" t="n"/>
      <c r="D67" s="88" t="n"/>
      <c r="E67" s="89" t="n"/>
      <c r="F67" s="220" t="n"/>
      <c r="G67" s="88" t="n"/>
      <c r="H67" s="89" t="n"/>
      <c r="I67" s="220" t="n"/>
      <c r="J67" s="88" t="n"/>
      <c r="K67" s="89" t="n"/>
    </row>
    <row r="68">
      <c r="A68" s="91" t="n"/>
      <c r="B68" s="91" t="n"/>
      <c r="C68" s="87" t="n"/>
      <c r="D68" s="88" t="n"/>
      <c r="E68" s="89" t="n"/>
      <c r="F68" s="220" t="n"/>
      <c r="G68" s="88" t="n"/>
      <c r="H68" s="89" t="n"/>
      <c r="I68" s="220" t="n"/>
      <c r="J68" s="88" t="n"/>
      <c r="K68" s="89" t="n"/>
    </row>
    <row r="69">
      <c r="A69" s="91" t="n"/>
      <c r="B69" s="91" t="n"/>
      <c r="C69" s="87" t="n"/>
      <c r="D69" s="88" t="n"/>
      <c r="E69" s="89" t="n"/>
      <c r="F69" s="220" t="n"/>
      <c r="G69" s="88" t="n"/>
      <c r="H69" s="89" t="n"/>
      <c r="I69" s="220" t="n"/>
      <c r="J69" s="88" t="n"/>
      <c r="K69" s="89" t="n"/>
    </row>
    <row r="70">
      <c r="A70" s="91" t="n"/>
      <c r="B70" s="91" t="n"/>
      <c r="C70" s="87" t="n"/>
      <c r="D70" s="88" t="n"/>
      <c r="E70" s="89" t="n"/>
      <c r="F70" s="220" t="n"/>
      <c r="G70" s="88" t="n"/>
      <c r="H70" s="89" t="n"/>
      <c r="I70" s="220" t="n"/>
      <c r="J70" s="88" t="n"/>
      <c r="K70" s="89" t="n"/>
    </row>
    <row r="71">
      <c r="A71" s="91" t="n"/>
      <c r="B71" s="91" t="n"/>
      <c r="C71" s="87" t="n"/>
      <c r="D71" s="88" t="n"/>
      <c r="E71" s="89" t="n"/>
      <c r="F71" s="220" t="n"/>
      <c r="G71" s="88" t="n"/>
      <c r="H71" s="89" t="n"/>
      <c r="I71" s="220" t="n"/>
      <c r="J71" s="88" t="n"/>
      <c r="K71" s="89" t="n"/>
    </row>
    <row r="72">
      <c r="A72" s="91" t="n"/>
      <c r="B72" s="91" t="n"/>
      <c r="C72" s="87" t="n"/>
      <c r="D72" s="88" t="n"/>
      <c r="E72" s="89" t="n"/>
      <c r="F72" s="220" t="n"/>
      <c r="G72" s="88" t="n"/>
      <c r="H72" s="89" t="n"/>
      <c r="I72" s="220" t="n"/>
      <c r="J72" s="88" t="n"/>
      <c r="K72" s="89" t="n"/>
    </row>
    <row r="73">
      <c r="A73" s="91" t="n"/>
      <c r="B73" s="91" t="n"/>
      <c r="C73" s="87" t="n"/>
      <c r="D73" s="88" t="n"/>
      <c r="E73" s="89" t="n"/>
      <c r="F73" s="220" t="n"/>
      <c r="G73" s="88" t="n"/>
      <c r="H73" s="89" t="n"/>
      <c r="I73" s="220" t="n"/>
      <c r="J73" s="88" t="n"/>
      <c r="K73" s="89" t="n"/>
    </row>
    <row r="74">
      <c r="A74" s="91" t="n"/>
      <c r="B74" s="91" t="n"/>
      <c r="C74" s="87" t="n"/>
      <c r="D74" s="88" t="n"/>
      <c r="E74" s="89" t="n"/>
      <c r="F74" s="220" t="n"/>
      <c r="G74" s="88" t="n"/>
      <c r="H74" s="89" t="n"/>
      <c r="I74" s="220" t="n"/>
      <c r="J74" s="88" t="n"/>
      <c r="K74" s="89" t="n"/>
    </row>
    <row r="75">
      <c r="A75" s="91" t="n"/>
      <c r="B75" s="91" t="n"/>
      <c r="C75" s="87" t="n"/>
      <c r="D75" s="88" t="n"/>
      <c r="E75" s="89" t="n"/>
      <c r="F75" s="220" t="n"/>
      <c r="G75" s="88" t="n"/>
      <c r="H75" s="89" t="n"/>
      <c r="I75" s="220" t="n"/>
      <c r="J75" s="88" t="n"/>
      <c r="K75" s="89" t="n"/>
    </row>
    <row r="76">
      <c r="A76" s="91" t="n"/>
      <c r="B76" s="91" t="n"/>
      <c r="C76" s="87" t="n"/>
      <c r="D76" s="88" t="n"/>
      <c r="E76" s="89" t="n"/>
      <c r="F76" s="220" t="n"/>
      <c r="G76" s="88" t="n"/>
      <c r="H76" s="89" t="n"/>
      <c r="I76" s="220" t="n"/>
      <c r="J76" s="88" t="n"/>
      <c r="K76" s="89" t="n"/>
    </row>
    <row r="77">
      <c r="A77" s="91" t="n"/>
      <c r="B77" s="91" t="n"/>
      <c r="C77" s="87" t="n"/>
      <c r="D77" s="88" t="n"/>
      <c r="E77" s="89" t="n"/>
      <c r="F77" s="220" t="n"/>
      <c r="G77" s="88" t="n"/>
      <c r="H77" s="89" t="n"/>
      <c r="I77" s="220" t="n"/>
      <c r="J77" s="88" t="n"/>
      <c r="K77" s="89" t="n"/>
    </row>
    <row r="78">
      <c r="A78" s="91" t="n"/>
      <c r="B78" s="91" t="n"/>
      <c r="C78" s="87" t="n"/>
      <c r="D78" s="88" t="n"/>
      <c r="E78" s="89" t="n"/>
      <c r="F78" s="220" t="n"/>
      <c r="G78" s="88" t="n"/>
      <c r="H78" s="89" t="n"/>
      <c r="I78" s="220" t="n"/>
      <c r="J78" s="88" t="n"/>
      <c r="K78" s="89" t="n"/>
    </row>
    <row r="79">
      <c r="A79" s="91" t="n"/>
      <c r="B79" s="91" t="n"/>
      <c r="C79" s="87" t="n"/>
      <c r="D79" s="88" t="n"/>
      <c r="E79" s="89" t="n"/>
      <c r="F79" s="220" t="n"/>
      <c r="G79" s="88" t="n"/>
      <c r="H79" s="89" t="n"/>
      <c r="I79" s="220" t="n"/>
      <c r="J79" s="88" t="n"/>
      <c r="K79" s="89" t="n"/>
    </row>
    <row r="80">
      <c r="A80" s="91" t="n"/>
      <c r="B80" s="91" t="n"/>
      <c r="C80" s="87" t="n"/>
      <c r="D80" s="88" t="n"/>
      <c r="E80" s="89" t="n"/>
      <c r="F80" s="220" t="n"/>
      <c r="G80" s="88" t="n"/>
      <c r="H80" s="89" t="n"/>
      <c r="I80" s="220" t="n"/>
      <c r="J80" s="88" t="n"/>
      <c r="K80" s="89" t="n"/>
    </row>
    <row r="81">
      <c r="A81" s="91" t="n"/>
      <c r="B81" s="91" t="n"/>
      <c r="C81" s="87" t="n"/>
      <c r="D81" s="88" t="n"/>
      <c r="E81" s="89" t="n"/>
      <c r="F81" s="220" t="n"/>
      <c r="G81" s="88" t="n"/>
      <c r="H81" s="89" t="n"/>
      <c r="I81" s="220" t="n"/>
      <c r="J81" s="88" t="n"/>
      <c r="K81" s="89" t="n"/>
    </row>
    <row r="82">
      <c r="A82" s="91" t="n"/>
      <c r="B82" s="91" t="n"/>
      <c r="C82" s="87" t="n"/>
      <c r="D82" s="88" t="n"/>
      <c r="E82" s="89" t="n"/>
      <c r="F82" s="220" t="n"/>
      <c r="G82" s="88" t="n"/>
      <c r="H82" s="89" t="n"/>
      <c r="I82" s="220" t="n"/>
      <c r="J82" s="88" t="n"/>
      <c r="K82" s="89" t="n"/>
    </row>
    <row r="83">
      <c r="A83" s="91" t="n"/>
      <c r="B83" s="91" t="n"/>
      <c r="C83" s="87" t="n"/>
      <c r="D83" s="88" t="n"/>
      <c r="E83" s="89" t="n"/>
      <c r="F83" s="220" t="n"/>
      <c r="G83" s="88" t="n"/>
      <c r="H83" s="89" t="n"/>
      <c r="I83" s="220" t="n"/>
      <c r="J83" s="88" t="n"/>
      <c r="K83" s="89" t="n"/>
    </row>
    <row r="84">
      <c r="A84" s="91" t="n"/>
      <c r="B84" s="91" t="n"/>
      <c r="C84" s="87" t="n"/>
      <c r="D84" s="88" t="n"/>
      <c r="E84" s="89" t="n"/>
      <c r="F84" s="220" t="n"/>
      <c r="G84" s="88" t="n"/>
      <c r="H84" s="89" t="n"/>
      <c r="I84" s="220" t="n"/>
      <c r="J84" s="88" t="n"/>
      <c r="K84" s="89" t="n"/>
    </row>
    <row r="85">
      <c r="A85" s="91" t="n"/>
      <c r="B85" s="91" t="n"/>
      <c r="C85" s="87" t="n"/>
      <c r="D85" s="88" t="n"/>
      <c r="E85" s="89" t="n"/>
      <c r="F85" s="220" t="n"/>
      <c r="G85" s="88" t="n"/>
      <c r="H85" s="89" t="n"/>
      <c r="I85" s="220" t="n"/>
      <c r="J85" s="88" t="n"/>
      <c r="K85" s="89" t="n"/>
    </row>
    <row r="86">
      <c r="A86" s="91" t="n"/>
      <c r="B86" s="91" t="n"/>
      <c r="C86" s="87" t="n"/>
      <c r="D86" s="88" t="n"/>
      <c r="E86" s="89" t="n"/>
      <c r="F86" s="220" t="n"/>
      <c r="G86" s="88" t="n"/>
      <c r="H86" s="89" t="n"/>
      <c r="I86" s="220" t="n"/>
      <c r="J86" s="88" t="n"/>
      <c r="K86" s="89" t="n"/>
    </row>
    <row r="87">
      <c r="A87" s="91" t="n"/>
      <c r="B87" s="91" t="n"/>
      <c r="C87" s="87" t="n"/>
      <c r="D87" s="88" t="n"/>
      <c r="E87" s="89" t="n"/>
      <c r="F87" s="220" t="n"/>
      <c r="G87" s="88" t="n"/>
      <c r="H87" s="89" t="n"/>
      <c r="I87" s="220" t="n"/>
      <c r="J87" s="88" t="n"/>
      <c r="K87" s="89" t="n"/>
    </row>
    <row r="88">
      <c r="A88" s="91" t="n"/>
      <c r="B88" s="91" t="n"/>
      <c r="C88" s="87" t="n"/>
      <c r="D88" s="88" t="n"/>
      <c r="E88" s="89" t="n"/>
      <c r="F88" s="220" t="n"/>
      <c r="G88" s="88" t="n"/>
      <c r="H88" s="89" t="n"/>
      <c r="I88" s="220" t="n"/>
      <c r="J88" s="88" t="n"/>
      <c r="K88" s="89" t="n"/>
    </row>
    <row r="89">
      <c r="A89" s="91" t="n"/>
      <c r="B89" s="91" t="n"/>
      <c r="C89" s="87" t="n"/>
      <c r="D89" s="88" t="n"/>
      <c r="E89" s="89" t="n"/>
      <c r="F89" s="220" t="n"/>
      <c r="G89" s="88" t="n"/>
      <c r="H89" s="89" t="n"/>
      <c r="I89" s="220" t="n"/>
      <c r="J89" s="88" t="n"/>
      <c r="K89" s="89" t="n"/>
    </row>
    <row r="90">
      <c r="A90" s="91" t="n"/>
      <c r="B90" s="91" t="n"/>
      <c r="C90" s="87" t="n"/>
      <c r="D90" s="88" t="n"/>
      <c r="E90" s="89" t="n"/>
      <c r="F90" s="220" t="n"/>
      <c r="G90" s="88" t="n"/>
      <c r="H90" s="89" t="n"/>
      <c r="I90" s="220" t="n"/>
      <c r="J90" s="88" t="n"/>
      <c r="K90" s="89" t="n"/>
    </row>
    <row r="91">
      <c r="A91" s="91" t="n"/>
      <c r="B91" s="91" t="n"/>
      <c r="C91" s="87" t="n"/>
      <c r="D91" s="88" t="n"/>
      <c r="E91" s="89" t="n"/>
      <c r="F91" s="220" t="n"/>
      <c r="G91" s="88" t="n"/>
      <c r="H91" s="89" t="n"/>
      <c r="I91" s="220" t="n"/>
      <c r="J91" s="88" t="n"/>
      <c r="K91" s="89" t="n"/>
    </row>
    <row r="92">
      <c r="A92" s="91" t="n"/>
      <c r="B92" s="91" t="n"/>
      <c r="C92" s="87" t="n"/>
      <c r="D92" s="88" t="n"/>
      <c r="E92" s="89" t="n"/>
      <c r="F92" s="220" t="n"/>
      <c r="G92" s="88" t="n"/>
      <c r="H92" s="89" t="n"/>
      <c r="I92" s="220" t="n"/>
      <c r="J92" s="88" t="n"/>
      <c r="K92" s="89" t="n"/>
    </row>
    <row r="93">
      <c r="A93" s="91" t="n"/>
      <c r="B93" s="91" t="n"/>
      <c r="C93" s="87" t="n"/>
      <c r="D93" s="88" t="n"/>
      <c r="E93" s="89" t="n"/>
      <c r="F93" s="220" t="n"/>
      <c r="G93" s="88" t="n"/>
      <c r="H93" s="89" t="n"/>
      <c r="I93" s="220" t="n"/>
      <c r="J93" s="88" t="n"/>
      <c r="K93" s="89" t="n"/>
    </row>
    <row r="94">
      <c r="A94" s="91" t="n"/>
      <c r="B94" s="91" t="n"/>
      <c r="C94" s="87" t="n"/>
      <c r="D94" s="88" t="n"/>
      <c r="E94" s="89" t="n"/>
      <c r="F94" s="220" t="n"/>
      <c r="G94" s="88" t="n"/>
      <c r="H94" s="89" t="n"/>
      <c r="I94" s="220" t="n"/>
      <c r="J94" s="88" t="n"/>
      <c r="K94" s="89" t="n"/>
    </row>
    <row r="95">
      <c r="A95" s="91" t="n"/>
      <c r="B95" s="91" t="n"/>
      <c r="C95" s="87" t="n"/>
      <c r="D95" s="88" t="n"/>
      <c r="E95" s="89" t="n"/>
      <c r="F95" s="220" t="n"/>
      <c r="G95" s="88" t="n"/>
      <c r="H95" s="89" t="n"/>
      <c r="I95" s="220" t="n"/>
      <c r="J95" s="88" t="n"/>
      <c r="K95" s="89" t="n"/>
    </row>
    <row r="96">
      <c r="A96" s="91" t="n"/>
      <c r="B96" s="91" t="n"/>
      <c r="C96" s="87" t="n"/>
      <c r="D96" s="88" t="n"/>
      <c r="E96" s="89" t="n"/>
      <c r="F96" s="220" t="n"/>
      <c r="G96" s="88" t="n"/>
      <c r="H96" s="89" t="n"/>
      <c r="I96" s="220" t="n"/>
      <c r="J96" s="88" t="n"/>
      <c r="K96" s="89" t="n"/>
    </row>
    <row r="97">
      <c r="A97" s="91" t="n"/>
      <c r="B97" s="91" t="n"/>
      <c r="C97" s="87" t="n"/>
      <c r="D97" s="88" t="n"/>
      <c r="E97" s="89" t="n"/>
      <c r="F97" s="220" t="n"/>
      <c r="G97" s="88" t="n"/>
      <c r="H97" s="89" t="n"/>
      <c r="I97" s="220" t="n"/>
      <c r="J97" s="88" t="n"/>
      <c r="K97" s="89" t="n"/>
    </row>
    <row r="98">
      <c r="A98" s="91" t="n"/>
      <c r="B98" s="91" t="n"/>
      <c r="C98" s="87" t="n"/>
      <c r="D98" s="88" t="n"/>
      <c r="E98" s="89" t="n"/>
      <c r="F98" s="220" t="n"/>
      <c r="G98" s="88" t="n"/>
      <c r="H98" s="89" t="n"/>
      <c r="I98" s="220" t="n"/>
      <c r="J98" s="88" t="n"/>
      <c r="K98" s="89" t="n"/>
    </row>
    <row r="99">
      <c r="A99" s="91" t="n"/>
      <c r="B99" s="91" t="n"/>
      <c r="C99" s="87" t="n"/>
      <c r="D99" s="88" t="n"/>
      <c r="E99" s="89" t="n"/>
      <c r="F99" s="220" t="n"/>
      <c r="G99" s="88" t="n"/>
      <c r="H99" s="89" t="n"/>
      <c r="I99" s="220" t="n"/>
      <c r="J99" s="88" t="n"/>
      <c r="K99" s="89" t="n"/>
    </row>
    <row r="100">
      <c r="A100" s="91" t="n"/>
      <c r="B100" s="91" t="n"/>
      <c r="C100" s="87" t="n"/>
      <c r="D100" s="88" t="n"/>
      <c r="E100" s="89" t="n"/>
      <c r="F100" s="220" t="n"/>
      <c r="G100" s="88" t="n"/>
      <c r="H100" s="89" t="n"/>
      <c r="I100" s="220" t="n"/>
      <c r="J100" s="88" t="n"/>
      <c r="K100" s="89" t="n"/>
    </row>
  </sheetData>
  <mergeCells count="9">
    <mergeCell ref="D6:E6"/>
    <mergeCell ref="A6:C7"/>
    <mergeCell ref="D7:E7"/>
    <mergeCell ref="A4:E5"/>
    <mergeCell ref="G7:H7"/>
    <mergeCell ref="J6:K6"/>
    <mergeCell ref="J7:K7"/>
    <mergeCell ref="G6:H6"/>
    <mergeCell ref="A1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C1" workbookViewId="0">
      <selection activeCell="A1" sqref="A1:D1"/>
    </sheetView>
  </sheetViews>
  <sheetFormatPr baseColWidth="8" defaultColWidth="9" defaultRowHeight="13.9"/>
  <cols>
    <col width="18.5703125" customWidth="1" style="7" min="1" max="3"/>
    <col width="14.85546875" bestFit="1" customWidth="1" style="7" min="4" max="4"/>
    <col width="32.42578125" customWidth="1" style="7" min="5" max="5"/>
    <col width="36.85546875" customWidth="1" style="7" min="6" max="6"/>
    <col width="7.85546875" customWidth="1" style="7" min="7" max="7"/>
    <col width="13.140625" bestFit="1" customWidth="1" style="7" min="8" max="8"/>
    <col width="10.5703125" bestFit="1" customWidth="1" style="7" min="9" max="9"/>
    <col width="18.5703125" customWidth="1" style="7" min="10" max="10"/>
    <col width="18" bestFit="1" customWidth="1" style="7" min="11" max="11"/>
    <col width="26" customWidth="1" style="7" min="12" max="12"/>
    <col width="9" customWidth="1" style="7" min="13" max="16384"/>
  </cols>
  <sheetData>
    <row r="1" ht="17.65" customHeight="1">
      <c r="A1" s="156" t="inlineStr">
        <is>
          <t>EQUIPMENT</t>
        </is>
      </c>
      <c r="B1" s="181" t="n"/>
      <c r="C1" s="181" t="n"/>
      <c r="D1" s="178" t="n"/>
    </row>
    <row r="2" ht="76.90000000000001" customHeight="1">
      <c r="A2" s="92" t="inlineStr">
        <is>
          <t xml:space="preserve">Item
</t>
        </is>
      </c>
      <c r="B2" s="145" t="inlineStr">
        <is>
          <t>Associated Task(s) &amp; Subtask(s)</t>
        </is>
      </c>
      <c r="C2" s="93" t="inlineStr">
        <is>
          <t>Organization</t>
        </is>
      </c>
      <c r="D2" s="93" t="inlineStr">
        <is>
          <t>Description of Equipment</t>
        </is>
      </c>
      <c r="E2" s="94" t="inlineStr">
        <is>
          <t>Will the equipment be included as part of a deliverable item under the award? 
(Y/N)</t>
        </is>
      </c>
      <c r="F2" s="94" t="inlineStr">
        <is>
          <t>Describe How This Equipment Will Be Used in Performing the Work</t>
        </is>
      </c>
      <c r="G2" s="94" t="inlineStr">
        <is>
          <t>Qty</t>
        </is>
      </c>
      <c r="H2" s="94" t="inlineStr">
        <is>
          <t>Unit of Issue</t>
        </is>
      </c>
      <c r="I2" s="94" t="inlineStr">
        <is>
          <t>Unit Price</t>
        </is>
      </c>
      <c r="J2" s="94" t="inlineStr">
        <is>
          <t>Total Price</t>
        </is>
      </c>
      <c r="K2" s="94" t="inlineStr">
        <is>
          <t>Vendor/Source</t>
        </is>
      </c>
      <c r="L2" s="94" t="inlineStr">
        <is>
          <t>Basis of Estimate 
(or justification page location in Appendix C.3 Cost Proposal)</t>
        </is>
      </c>
    </row>
    <row r="3">
      <c r="A3" s="227" t="inlineStr">
        <is>
          <t>Phase I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78" t="n"/>
    </row>
    <row r="4">
      <c r="A4" s="95" t="n">
        <v>1</v>
      </c>
      <c r="B4" s="95" t="inlineStr">
        <is>
          <t>1.4.1</t>
        </is>
      </c>
      <c r="C4" s="95" t="inlineStr">
        <is>
          <t>Purdue — Tegtmeyer Lab</t>
        </is>
      </c>
      <c r="D4" s="95" t="inlineStr">
        <is>
          <t>High-content automated fluorescence imaging system (widefield; &gt;=20x/40x; multi-channel; plate-compatible)</t>
        </is>
      </c>
      <c r="E4" s="228" t="inlineStr">
        <is>
          <t>N</t>
        </is>
      </c>
      <c r="F4" s="228" t="inlineStr">
        <is>
          <t>Cell-Painting-style morphological profiling of iPSC-NGN2 neurons across variant panel; batch-scalable plate-based imaging for Stage 1 triage screen</t>
        </is>
      </c>
      <c r="G4" s="95" t="n">
        <v>1</v>
      </c>
      <c r="H4" s="95" t="inlineStr">
        <is>
          <t>Unit</t>
        </is>
      </c>
      <c r="I4" s="228" t="n">
        <v>350000</v>
      </c>
      <c r="J4" s="228">
        <f>G4*I4</f>
        <v/>
      </c>
      <c r="K4" s="95" t="inlineStr">
        <is>
          <t>TBD (Operetta CLS, ImageXpress Confocal HT, or equivalent)</t>
        </is>
      </c>
      <c r="L4" s="95" t="inlineStr">
        <is>
          <t>Vendor quote pending; &gt;$10K — see C.3 justification</t>
        </is>
      </c>
    </row>
    <row r="5">
      <c r="A5" s="95" t="n">
        <v>2</v>
      </c>
      <c r="B5" s="95" t="inlineStr">
        <is>
          <t>1.4.1</t>
        </is>
      </c>
      <c r="C5" s="95" t="inlineStr">
        <is>
          <t>Purdue — Tegtmeyer Lab</t>
        </is>
      </c>
      <c r="D5" s="95" t="inlineStr">
        <is>
          <t>Spinning-disk confocal system with calcium-imaging rig (live-cell; 488/561/640nm lasers; high-speed sCMOS camera)</t>
        </is>
      </c>
      <c r="E5" s="228" t="inlineStr">
        <is>
          <t>N</t>
        </is>
      </c>
      <c r="F5" s="228" t="inlineStr">
        <is>
          <t>Single-cell calcium imaging of neuronal activity in iPSC-NGN2 neurons (Phase I PRIMARY functional readout — NOT MEA electrophysiology)</t>
        </is>
      </c>
      <c r="G5" s="95" t="n">
        <v>1</v>
      </c>
      <c r="H5" s="95" t="inlineStr">
        <is>
          <t>Unit</t>
        </is>
      </c>
      <c r="I5" s="228" t="n">
        <v>280000</v>
      </c>
      <c r="J5" s="228">
        <f>G5*I5</f>
        <v/>
      </c>
      <c r="K5" s="95" t="inlineStr">
        <is>
          <t>TBD (Nikon Ti2-E + CSU-W1 or equivalent)</t>
        </is>
      </c>
      <c r="L5" s="95" t="inlineStr">
        <is>
          <t>Vendor quote pending; &gt;$10K — see C.3</t>
        </is>
      </c>
    </row>
    <row r="6">
      <c r="A6" s="95" t="n">
        <v>3</v>
      </c>
      <c r="B6" s="95" t="inlineStr">
        <is>
          <t>1.4.1</t>
        </is>
      </c>
      <c r="C6" s="95" t="inlineStr">
        <is>
          <t>Purdue — Tegtmeyer Lab</t>
        </is>
      </c>
      <c r="D6" s="95" t="inlineStr">
        <is>
          <t>Automated liquid-handling workstation (96/384-well; tip-wash; deck capacity &gt;=10 positions)</t>
        </is>
      </c>
      <c r="E6" s="228" t="inlineStr">
        <is>
          <t>N</t>
        </is>
      </c>
      <c r="F6" s="228" t="inlineStr">
        <is>
          <t>Plate-based iPSC differentiation, media changes, and reagent dispensing for high-throughput variant-panel processing</t>
        </is>
      </c>
      <c r="G6" s="95" t="n">
        <v>1</v>
      </c>
      <c r="H6" s="95" t="inlineStr">
        <is>
          <t>Unit</t>
        </is>
      </c>
      <c r="I6" s="228" t="n">
        <v>150000</v>
      </c>
      <c r="J6" s="228">
        <f>G6*I6</f>
        <v/>
      </c>
      <c r="K6" s="95" t="inlineStr">
        <is>
          <t>TBD (Hamilton STAR, Beckman Biomek i7, or equivalent)</t>
        </is>
      </c>
      <c r="L6" s="95" t="inlineStr">
        <is>
          <t>Vendor quote pending; &gt;$10K — see C.3</t>
        </is>
      </c>
    </row>
    <row r="7">
      <c r="A7" s="95" t="n">
        <v>4</v>
      </c>
      <c r="B7" s="95" t="inlineStr">
        <is>
          <t>1.4.1</t>
        </is>
      </c>
      <c r="C7" s="95" t="inlineStr">
        <is>
          <t>Purdue — Tegtmeyer Lab</t>
        </is>
      </c>
      <c r="D7" s="95" t="inlineStr">
        <is>
          <t>CO2/humidity/O2-controlled cell-culture incubators (&gt;=2 units)</t>
        </is>
      </c>
      <c r="E7" s="228" t="inlineStr">
        <is>
          <t>N</t>
        </is>
      </c>
      <c r="F7" s="228" t="inlineStr">
        <is>
          <t>iPSC maintenance and NGN2 differentiation at controlled atmospheric conditions for isogenic-pair expansion</t>
        </is>
      </c>
      <c r="G7" s="95" t="n">
        <v>2</v>
      </c>
      <c r="H7" s="95" t="inlineStr">
        <is>
          <t>Unit</t>
        </is>
      </c>
      <c r="I7" s="228" t="n">
        <v>25000</v>
      </c>
      <c r="J7" s="228">
        <f>G7*I7</f>
        <v/>
      </c>
      <c r="K7" s="95" t="inlineStr">
        <is>
          <t>TBD (Thermo Heracell 240i or equivalent)</t>
        </is>
      </c>
      <c r="L7" s="95" t="inlineStr">
        <is>
          <t>Catalog pricing x 2; vendor quote pending</t>
        </is>
      </c>
    </row>
    <row r="8">
      <c r="A8" s="95" t="n">
        <v>5</v>
      </c>
      <c r="B8" s="95" t="inlineStr">
        <is>
          <t>1.4.1</t>
        </is>
      </c>
      <c r="C8" s="95" t="inlineStr">
        <is>
          <t>Purdue — Tegtmeyer Lab</t>
        </is>
      </c>
      <c r="D8" s="95" t="inlineStr">
        <is>
          <t>Refrigerated benchtop centrifuge (&gt;=5,000 x g; &gt;=24-well plate rotor)</t>
        </is>
      </c>
      <c r="E8" s="228" t="inlineStr">
        <is>
          <t>N</t>
        </is>
      </c>
      <c r="F8" s="228" t="inlineStr">
        <is>
          <t>Cell pelleting during iPSC passaging, RNA extraction, and sequencing library preparation</t>
        </is>
      </c>
      <c r="G8" s="95" t="n">
        <v>1</v>
      </c>
      <c r="H8" s="95" t="inlineStr">
        <is>
          <t>Unit</t>
        </is>
      </c>
      <c r="I8" s="228" t="n">
        <v>18000</v>
      </c>
      <c r="J8" s="228">
        <f>G8*I8</f>
        <v/>
      </c>
      <c r="K8" s="95" t="inlineStr">
        <is>
          <t>TBD (Eppendorf 5920R or equivalent)</t>
        </is>
      </c>
      <c r="L8" s="95" t="inlineStr">
        <is>
          <t>Catalog pricing; &gt;$10K</t>
        </is>
      </c>
    </row>
    <row r="9">
      <c r="A9" s="95" t="n">
        <v>6</v>
      </c>
      <c r="B9" s="95" t="inlineStr">
        <is>
          <t>1.4.1</t>
        </is>
      </c>
      <c r="C9" s="95" t="inlineStr">
        <is>
          <t>Purdue — Tegtmeyer Lab</t>
        </is>
      </c>
      <c r="D9" s="95" t="inlineStr">
        <is>
          <t>Fluorescence-activated cell sorter (FACS; &gt;=4-laser) — or formal Purdue core-access agreement</t>
        </is>
      </c>
      <c r="E9" s="228" t="inlineStr">
        <is>
          <t>N</t>
        </is>
      </c>
      <c r="F9" s="228" t="inlineStr">
        <is>
          <t>Sorting iPSC-derived neuron populations and quality-control of differentiation efficiency across variant lines</t>
        </is>
      </c>
      <c r="G9" s="95" t="n">
        <v>1</v>
      </c>
      <c r="H9" s="95" t="inlineStr">
        <is>
          <t>Unit</t>
        </is>
      </c>
      <c r="I9" s="228" t="n">
        <v>120000</v>
      </c>
      <c r="J9" s="228">
        <f>G9*I9</f>
        <v/>
      </c>
      <c r="K9" s="95" t="inlineStr">
        <is>
          <t>TBD (BD FACSMelody or equivalent; Purdue core-access preferred — may reduce capex)</t>
        </is>
      </c>
      <c r="L9" s="95" t="inlineStr">
        <is>
          <t>Vendor quote pending; &gt;$10K; note: shift to Purdue core-access would move cost to ODC/service line</t>
        </is>
      </c>
    </row>
    <row r="10">
      <c r="A10" s="95" t="n">
        <v>7</v>
      </c>
      <c r="B10" s="95" t="inlineStr">
        <is>
          <t>1.4.1</t>
        </is>
      </c>
      <c r="C10" s="95" t="inlineStr">
        <is>
          <t>Purdue — Tegtmeyer Lab</t>
        </is>
      </c>
      <c r="D10" s="95" t="inlineStr">
        <is>
          <t>Cryogenic biobanking infrastructure: controlled-rate freezer + liquid-nitrogen dewar (200L)</t>
        </is>
      </c>
      <c r="E10" s="228" t="inlineStr">
        <is>
          <t>N</t>
        </is>
      </c>
      <c r="F10" s="228" t="inlineStr">
        <is>
          <t>Biobanking engineered iPSC lines and frozen cell libraries for reproducible re-access across phases and external validation</t>
        </is>
      </c>
      <c r="G10" s="95" t="n">
        <v>1</v>
      </c>
      <c r="H10" s="95" t="inlineStr">
        <is>
          <t>Set</t>
        </is>
      </c>
      <c r="I10" s="228" t="n">
        <v>30000</v>
      </c>
      <c r="J10" s="228">
        <f>G10*I10</f>
        <v/>
      </c>
      <c r="K10" s="95" t="inlineStr">
        <is>
          <t>TBD (Asymptote EF600M or equivalent)</t>
        </is>
      </c>
      <c r="L10" s="95" t="inlineStr">
        <is>
          <t>Catalog estimate; set of items</t>
        </is>
      </c>
    </row>
    <row r="11">
      <c r="A11" s="95" t="n">
        <v>8</v>
      </c>
      <c r="B11" s="95" t="inlineStr">
        <is>
          <t>1.4.2</t>
        </is>
      </c>
      <c r="C11" s="95" t="inlineStr">
        <is>
          <t>Purdue — Tegtmeyer Lab</t>
        </is>
      </c>
      <c r="D11" s="95" t="inlineStr">
        <is>
          <t>Multimode microplate reader (fluorescence intensity / luminescence / absorbance / TR-FRET)</t>
        </is>
      </c>
      <c r="E11" s="228" t="inlineStr">
        <is>
          <t>N</t>
        </is>
      </c>
      <c r="F11" s="228" t="inlineStr">
        <is>
          <t>Rapid cell-viability and reporter-gene quantification for QC steps during NGN2 differentiation and lentiviral transduction</t>
        </is>
      </c>
      <c r="G11" s="95" t="n">
        <v>1</v>
      </c>
      <c r="H11" s="95" t="inlineStr">
        <is>
          <t>Unit</t>
        </is>
      </c>
      <c r="I11" s="228" t="n">
        <v>45000</v>
      </c>
      <c r="J11" s="228">
        <f>G11*I11</f>
        <v/>
      </c>
      <c r="K11" s="95" t="inlineStr">
        <is>
          <t>TBD (Molecular Devices FilterMax F5 or equivalent)</t>
        </is>
      </c>
      <c r="L11" s="95" t="inlineStr">
        <is>
          <t>Catalog pricing; &gt;$10K</t>
        </is>
      </c>
    </row>
    <row r="12">
      <c r="A12" s="95" t="n">
        <v>9</v>
      </c>
      <c r="B12" s="95" t="inlineStr">
        <is>
          <t>1.4.1</t>
        </is>
      </c>
      <c r="C12" s="95" t="inlineStr">
        <is>
          <t>Purdue — Tegtmeyer Lab</t>
        </is>
      </c>
      <c r="D12" s="95" t="inlineStr">
        <is>
          <t>Single-cell encapsulation / microfluidic dispensing system (Phase I validation — 10x Chromium X or equivalent)</t>
        </is>
      </c>
      <c r="E12" s="228" t="inlineStr">
        <is>
          <t>N</t>
        </is>
      </c>
      <c r="F12" s="228" t="inlineStr">
        <is>
          <t>Pilot single-cell partitioning for sequencing-library QC validation; may shift to CRO if Illumina in-kind resolves</t>
        </is>
      </c>
      <c r="G12" s="95" t="n">
        <v>1</v>
      </c>
      <c r="H12" s="95" t="inlineStr">
        <is>
          <t>Unit</t>
        </is>
      </c>
      <c r="I12" s="228" t="n">
        <v>85000</v>
      </c>
      <c r="J12" s="228">
        <f>G12*I12</f>
        <v/>
      </c>
      <c r="K12" s="95" t="inlineStr">
        <is>
          <t>TBD (10x Genomics Chromium X or equivalent; may shift to CRO/Illumina in-kind)</t>
        </is>
      </c>
      <c r="L12" s="95" t="inlineStr">
        <is>
          <t>Vendor quote pending; &gt;$10K; CRO shift would move to subaward line</t>
        </is>
      </c>
    </row>
    <row r="13">
      <c r="A13" s="95" t="n">
        <v>10</v>
      </c>
      <c r="B13" s="95" t="inlineStr">
        <is>
          <t>1.4.1</t>
        </is>
      </c>
      <c r="C13" s="95" t="inlineStr">
        <is>
          <t>Purdue — Tegtmeyer Lab</t>
        </is>
      </c>
      <c r="D13" s="95" t="inlineStr">
        <is>
          <t>General lab equipment set: biosafety cabinets x2, water baths, inverted microscopes x2, miscellaneous (all items individually &lt;=10K)</t>
        </is>
      </c>
      <c r="E13" s="228" t="inlineStr">
        <is>
          <t>N</t>
        </is>
      </c>
      <c r="F13" s="228" t="inlineStr">
        <is>
          <t>Day-to-day cell-culture operations; biosafety containment for lentiviral CRISPRi/a library transduction; routine microscopy</t>
        </is>
      </c>
      <c r="G13" s="95" t="n">
        <v>1</v>
      </c>
      <c r="H13" s="95" t="inlineStr">
        <is>
          <t>Set</t>
        </is>
      </c>
      <c r="I13" s="228" t="n">
        <v>297000</v>
      </c>
      <c r="J13" s="228">
        <f>G13*I13</f>
        <v/>
      </c>
      <c r="K13" s="95" t="inlineStr">
        <is>
          <t>Multiple vendors</t>
        </is>
      </c>
      <c r="L13" s="95" t="inlineStr">
        <is>
          <t>Aggregate estimate for items individually &lt;=10K; itemized list available in C.3 Price Proposal</t>
        </is>
      </c>
    </row>
    <row r="14">
      <c r="A14" s="229" t="inlineStr">
        <is>
          <t>Phase II</t>
        </is>
      </c>
      <c r="B14" s="181" t="n"/>
      <c r="C14" s="181" t="n"/>
      <c r="D14" s="181" t="n"/>
      <c r="E14" s="181" t="n"/>
      <c r="F14" s="181" t="n"/>
      <c r="G14" s="181" t="n"/>
      <c r="H14" s="181" t="n"/>
      <c r="I14" s="181" t="n"/>
      <c r="J14" s="181" t="n"/>
      <c r="K14" s="181" t="n"/>
      <c r="L14" s="178" t="n"/>
    </row>
    <row r="15">
      <c r="A15" s="95" t="n">
        <v>1</v>
      </c>
      <c r="B15" s="95" t="inlineStr">
        <is>
          <t>2.4.0 / 2.5.0</t>
        </is>
      </c>
      <c r="C15" s="95" t="inlineStr">
        <is>
          <t>Purdue Tegtmeyer Lab / Cellanome</t>
        </is>
      </c>
      <c r="D15" s="95" t="inlineStr">
        <is>
          <t>Phase II: no major capital equipment purchases planned. Major imaging stack commissioned Phase I. Minor lab upgrades, replacement parts, and consumable-capital items included in materials/ODC lines in C.3.</t>
        </is>
      </c>
      <c r="E15" s="228" t="inlineStr">
        <is>
          <t>N</t>
        </is>
      </c>
      <c r="F15" s="228" t="inlineStr">
        <is>
          <t>Support Phase II Perturb-seq scale-up; instrument maintenance</t>
        </is>
      </c>
      <c r="G15" s="95" t="n">
        <v>1</v>
      </c>
      <c r="H15" s="95" t="inlineStr">
        <is>
          <t>Lot</t>
        </is>
      </c>
      <c r="I15" s="228" t="n">
        <v>0</v>
      </c>
      <c r="J15" s="228">
        <f>G15*I15</f>
        <v/>
      </c>
      <c r="K15" s="95" t="inlineStr">
        <is>
          <t>N/A</t>
        </is>
      </c>
      <c r="L15" s="95" t="inlineStr">
        <is>
          <t>Phase II equipment costs subsumed in materials/ODC lines in C.3; no items &gt;$10K anticipated outside Phase I stand-up</t>
        </is>
      </c>
    </row>
    <row r="16">
      <c r="A16" s="95" t="n">
        <v>2</v>
      </c>
      <c r="B16" s="95" t="n"/>
      <c r="C16" s="95" t="n"/>
      <c r="D16" s="95" t="n"/>
      <c r="E16" s="228" t="n"/>
      <c r="F16" s="228" t="n"/>
      <c r="G16" s="95" t="n"/>
      <c r="H16" s="95" t="n"/>
      <c r="I16" s="228" t="n"/>
      <c r="J16" s="228">
        <f>G16*I16</f>
        <v/>
      </c>
      <c r="K16" s="95" t="n"/>
      <c r="L16" s="95" t="n"/>
    </row>
    <row r="17">
      <c r="A17" s="95" t="n">
        <v>3</v>
      </c>
      <c r="B17" s="95" t="n"/>
      <c r="C17" s="95" t="n"/>
      <c r="D17" s="95" t="n"/>
      <c r="E17" s="228" t="n"/>
      <c r="F17" s="228" t="n"/>
      <c r="G17" s="95" t="n"/>
      <c r="H17" s="95" t="n"/>
      <c r="I17" s="228" t="n"/>
      <c r="J17" s="228">
        <f>G17*I17</f>
        <v/>
      </c>
      <c r="K17" s="95" t="n"/>
      <c r="L17" s="95" t="n"/>
    </row>
    <row r="18">
      <c r="A18" s="95" t="n">
        <v>4</v>
      </c>
      <c r="B18" s="95" t="n"/>
      <c r="C18" s="95" t="n"/>
      <c r="D18" s="95" t="n"/>
      <c r="E18" s="228" t="n"/>
      <c r="F18" s="228" t="n"/>
      <c r="G18" s="95" t="n"/>
      <c r="H18" s="95" t="n"/>
      <c r="I18" s="228" t="n"/>
      <c r="J18" s="228">
        <f>G18*I18</f>
        <v/>
      </c>
      <c r="K18" s="95" t="n"/>
      <c r="L18" s="95" t="n"/>
    </row>
    <row r="19">
      <c r="A19" s="95" t="n">
        <v>5</v>
      </c>
      <c r="B19" s="95" t="n"/>
      <c r="C19" s="95" t="n"/>
      <c r="D19" s="95" t="n"/>
      <c r="E19" s="228" t="n"/>
      <c r="F19" s="228" t="n"/>
      <c r="G19" s="95" t="n"/>
      <c r="H19" s="95" t="n"/>
      <c r="I19" s="228" t="n"/>
      <c r="J19" s="228">
        <f>G19*I19</f>
        <v/>
      </c>
      <c r="K19" s="95" t="n"/>
      <c r="L19" s="95" t="n"/>
    </row>
    <row r="20">
      <c r="A20" s="95" t="n">
        <v>6</v>
      </c>
      <c r="B20" s="95" t="n"/>
      <c r="C20" s="95" t="n"/>
      <c r="D20" s="95" t="n"/>
      <c r="E20" s="228" t="n"/>
      <c r="F20" s="228" t="n"/>
      <c r="G20" s="95" t="n"/>
      <c r="H20" s="95" t="n"/>
      <c r="I20" s="228" t="n"/>
      <c r="J20" s="228">
        <f>G20*I20</f>
        <v/>
      </c>
      <c r="K20" s="95" t="n"/>
      <c r="L20" s="95" t="n"/>
    </row>
    <row r="21">
      <c r="A21" s="95" t="n">
        <v>7</v>
      </c>
      <c r="B21" s="95" t="n"/>
      <c r="C21" s="95" t="n"/>
      <c r="D21" s="95" t="n"/>
      <c r="E21" s="228" t="n"/>
      <c r="F21" s="228" t="n"/>
      <c r="G21" s="95" t="n"/>
      <c r="H21" s="95" t="n"/>
      <c r="I21" s="228" t="n"/>
      <c r="J21" s="228">
        <f>G21*I21</f>
        <v/>
      </c>
      <c r="K21" s="95" t="n"/>
      <c r="L21" s="95" t="n"/>
    </row>
    <row r="22">
      <c r="A22" s="95" t="n">
        <v>8</v>
      </c>
      <c r="B22" s="95" t="n"/>
      <c r="C22" s="95" t="n"/>
      <c r="D22" s="95" t="n"/>
      <c r="E22" s="228" t="n"/>
      <c r="F22" s="228" t="n"/>
      <c r="G22" s="95" t="n"/>
      <c r="H22" s="95" t="n"/>
      <c r="I22" s="228" t="n"/>
      <c r="J22" s="228">
        <f>G22*I22</f>
        <v/>
      </c>
      <c r="K22" s="95" t="n"/>
      <c r="L22" s="95" t="n"/>
    </row>
    <row r="23">
      <c r="A23" s="95" t="n">
        <v>9</v>
      </c>
      <c r="B23" s="95" t="n"/>
      <c r="C23" s="95" t="n"/>
      <c r="D23" s="95" t="n"/>
      <c r="E23" s="228" t="n"/>
      <c r="F23" s="228" t="n"/>
      <c r="G23" s="95" t="n"/>
      <c r="H23" s="95" t="n"/>
      <c r="I23" s="228" t="n"/>
      <c r="J23" s="228">
        <f>G23*I23</f>
        <v/>
      </c>
      <c r="K23" s="95" t="n"/>
      <c r="L23" s="95" t="n"/>
    </row>
    <row r="24">
      <c r="A24" s="95" t="n">
        <v>10</v>
      </c>
      <c r="B24" s="95" t="n"/>
      <c r="C24" s="95" t="n"/>
      <c r="D24" s="95" t="n"/>
      <c r="E24" s="228" t="n"/>
      <c r="F24" s="228" t="n"/>
      <c r="G24" s="95" t="n"/>
      <c r="H24" s="95" t="n"/>
      <c r="I24" s="228" t="n"/>
      <c r="J24" s="228">
        <f>G24*I24</f>
        <v/>
      </c>
      <c r="K24" s="95" t="n"/>
      <c r="L24" s="95" t="n"/>
    </row>
    <row r="25">
      <c r="A25" s="230" t="inlineStr">
        <is>
          <t>Phase III</t>
        </is>
      </c>
      <c r="B25" s="181" t="n"/>
      <c r="C25" s="181" t="n"/>
      <c r="D25" s="181" t="n"/>
      <c r="E25" s="181" t="n"/>
      <c r="F25" s="181" t="n"/>
      <c r="G25" s="181" t="n"/>
      <c r="H25" s="181" t="n"/>
      <c r="I25" s="181" t="n"/>
      <c r="J25" s="181" t="n"/>
      <c r="K25" s="181" t="n"/>
      <c r="L25" s="178" t="n"/>
    </row>
    <row r="26">
      <c r="A26" s="95" t="n">
        <v>1</v>
      </c>
      <c r="B26" s="95" t="inlineStr">
        <is>
          <t>3.4.0 / 3.5.0</t>
        </is>
      </c>
      <c r="C26" s="95" t="inlineStr">
        <is>
          <t>Purdue Tegtmeyer Lab / Cellanome</t>
        </is>
      </c>
      <c r="D26" s="95" t="inlineStr">
        <is>
          <t>Phase III: no major capital equipment purchases. Ongoing maintenance at &lt;$10K/item. Equipment costs subsumed in materials/ODC lines in C.3.</t>
        </is>
      </c>
      <c r="E26" s="228" t="inlineStr">
        <is>
          <t>N</t>
        </is>
      </c>
      <c r="F26" s="228" t="inlineStr">
        <is>
          <t>Support scaled Stage 3 combinatorial-perturbation operations</t>
        </is>
      </c>
      <c r="G26" s="95" t="n">
        <v>1</v>
      </c>
      <c r="H26" s="95" t="inlineStr">
        <is>
          <t>Lot</t>
        </is>
      </c>
      <c r="I26" s="228" t="n">
        <v>0</v>
      </c>
      <c r="J26" s="228">
        <f>G26*I26</f>
        <v/>
      </c>
      <c r="K26" s="95" t="inlineStr">
        <is>
          <t>N/A</t>
        </is>
      </c>
      <c r="L26" s="95" t="inlineStr">
        <is>
          <t>Phase III equipment costs subsumed in materials/ODC lines in C.3; no separate capital purchases &gt;$10K anticipated</t>
        </is>
      </c>
    </row>
    <row r="27">
      <c r="A27" s="95" t="n">
        <v>2</v>
      </c>
      <c r="B27" s="95" t="n"/>
      <c r="C27" s="95" t="n"/>
      <c r="D27" s="95" t="n"/>
      <c r="E27" s="228" t="n"/>
      <c r="F27" s="228" t="n"/>
      <c r="G27" s="95" t="n"/>
      <c r="H27" s="95" t="n"/>
      <c r="I27" s="228" t="n"/>
      <c r="J27" s="228">
        <f>G27*I27</f>
        <v/>
      </c>
      <c r="K27" s="95" t="n"/>
      <c r="L27" s="95" t="n"/>
    </row>
    <row r="28">
      <c r="A28" s="95" t="n">
        <v>3</v>
      </c>
      <c r="B28" s="95" t="n"/>
      <c r="C28" s="95" t="n"/>
      <c r="D28" s="95" t="n"/>
      <c r="E28" s="228" t="n"/>
      <c r="F28" s="228" t="n"/>
      <c r="G28" s="95" t="n"/>
      <c r="H28" s="95" t="n"/>
      <c r="I28" s="228" t="n"/>
      <c r="J28" s="228">
        <f>G28*I28</f>
        <v/>
      </c>
      <c r="K28" s="95" t="n"/>
      <c r="L28" s="95" t="n"/>
    </row>
    <row r="29">
      <c r="A29" s="95" t="n">
        <v>4</v>
      </c>
      <c r="B29" s="95" t="n"/>
      <c r="C29" s="95" t="n"/>
      <c r="D29" s="95" t="n"/>
      <c r="E29" s="228" t="n"/>
      <c r="F29" s="228" t="n"/>
      <c r="G29" s="95" t="n"/>
      <c r="H29" s="95" t="n"/>
      <c r="I29" s="228" t="n"/>
      <c r="J29" s="228">
        <f>G29*I29</f>
        <v/>
      </c>
      <c r="K29" s="95" t="n"/>
      <c r="L29" s="95" t="n"/>
    </row>
    <row r="30">
      <c r="A30" s="95" t="n">
        <v>5</v>
      </c>
      <c r="B30" s="95" t="n"/>
      <c r="C30" s="95" t="n"/>
      <c r="D30" s="95" t="n"/>
      <c r="E30" s="228" t="n"/>
      <c r="F30" s="228" t="n"/>
      <c r="G30" s="95" t="n"/>
      <c r="H30" s="95" t="n"/>
      <c r="I30" s="228" t="n"/>
      <c r="J30" s="228">
        <f>G30*I30</f>
        <v/>
      </c>
      <c r="K30" s="95" t="n"/>
      <c r="L30" s="95" t="n"/>
    </row>
    <row r="31">
      <c r="A31" s="95" t="n">
        <v>6</v>
      </c>
      <c r="B31" s="95" t="n"/>
      <c r="C31" s="95" t="n"/>
      <c r="D31" s="95" t="n"/>
      <c r="E31" s="228" t="n"/>
      <c r="F31" s="228" t="n"/>
      <c r="G31" s="95" t="n"/>
      <c r="H31" s="95" t="n"/>
      <c r="I31" s="228" t="n"/>
      <c r="J31" s="228">
        <f>G31*I31</f>
        <v/>
      </c>
      <c r="K31" s="95" t="n"/>
      <c r="L31" s="95" t="n"/>
    </row>
    <row r="32">
      <c r="A32" s="95" t="n">
        <v>7</v>
      </c>
      <c r="B32" s="95" t="n"/>
      <c r="C32" s="95" t="n"/>
      <c r="D32" s="95" t="n"/>
      <c r="E32" s="228" t="n"/>
      <c r="F32" s="228" t="n"/>
      <c r="G32" s="95" t="n"/>
      <c r="H32" s="95" t="n"/>
      <c r="I32" s="228" t="n"/>
      <c r="J32" s="228">
        <f>G32*I32</f>
        <v/>
      </c>
      <c r="K32" s="95" t="n"/>
      <c r="L32" s="95" t="n"/>
    </row>
    <row r="33">
      <c r="A33" s="95" t="n">
        <v>8</v>
      </c>
      <c r="B33" s="95" t="n"/>
      <c r="C33" s="95" t="n"/>
      <c r="D33" s="95" t="n"/>
      <c r="E33" s="228" t="n"/>
      <c r="F33" s="228" t="n"/>
      <c r="G33" s="95" t="n"/>
      <c r="H33" s="95" t="n"/>
      <c r="I33" s="228" t="n"/>
      <c r="J33" s="228">
        <f>G33*I33</f>
        <v/>
      </c>
      <c r="K33" s="95" t="n"/>
      <c r="L33" s="95" t="n"/>
    </row>
    <row r="34">
      <c r="A34" s="95" t="n">
        <v>9</v>
      </c>
      <c r="B34" s="95" t="n"/>
      <c r="C34" s="95" t="n"/>
      <c r="D34" s="95" t="n"/>
      <c r="E34" s="228" t="n"/>
      <c r="F34" s="228" t="n"/>
      <c r="G34" s="95" t="n"/>
      <c r="H34" s="95" t="n"/>
      <c r="I34" s="228" t="n"/>
      <c r="J34" s="228">
        <f>G34*I34</f>
        <v/>
      </c>
      <c r="K34" s="95" t="n"/>
      <c r="L34" s="95" t="n"/>
    </row>
    <row r="35">
      <c r="A35" s="95" t="n">
        <v>10</v>
      </c>
      <c r="B35" s="95" t="n"/>
      <c r="C35" s="95" t="n"/>
      <c r="D35" s="95" t="n"/>
      <c r="E35" s="228" t="n"/>
      <c r="F35" s="228" t="n"/>
      <c r="G35" s="95" t="n"/>
      <c r="H35" s="95" t="n"/>
      <c r="I35" s="228" t="n"/>
      <c r="J35" s="228">
        <f>G35*I35</f>
        <v/>
      </c>
      <c r="K35" s="95" t="n"/>
      <c r="L35" s="95" t="n"/>
    </row>
  </sheetData>
  <mergeCells count="4">
    <mergeCell ref="A1:D1"/>
    <mergeCell ref="A3:L3"/>
    <mergeCell ref="A14:L14"/>
    <mergeCell ref="A25:L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:C1"/>
    </sheetView>
  </sheetViews>
  <sheetFormatPr baseColWidth="8" defaultColWidth="9" defaultRowHeight="13.9"/>
  <cols>
    <col width="21.140625" bestFit="1" customWidth="1" style="7" min="1" max="1"/>
    <col width="35.85546875" customWidth="1" style="7" min="2" max="2"/>
    <col width="23" customWidth="1" style="7" min="3" max="3"/>
    <col width="21.28515625" customWidth="1" style="7" min="4" max="5"/>
    <col width="30.7109375" customWidth="1" style="7" min="6" max="6"/>
    <col width="14.5703125" customWidth="1" style="7" min="7" max="7"/>
    <col width="9" customWidth="1" style="7" min="8" max="16384"/>
  </cols>
  <sheetData>
    <row r="1" ht="17.65" customHeight="1">
      <c r="A1" s="156" t="inlineStr">
        <is>
          <t xml:space="preserve"> TRAVEL</t>
        </is>
      </c>
      <c r="B1" s="181" t="n"/>
      <c r="C1" s="178" t="n"/>
      <c r="D1" s="97" t="n"/>
      <c r="E1" s="97" t="n"/>
      <c r="F1" s="97" t="n"/>
    </row>
    <row r="2" ht="15.4" customHeight="1">
      <c r="A2" s="167" t="inlineStr">
        <is>
          <t>All travel cost description/justification narrative should be located in Appendix C.3 Price Proposal</t>
        </is>
      </c>
      <c r="B2" s="212" t="n"/>
      <c r="C2" s="213" t="n"/>
      <c r="D2" s="98" t="n"/>
      <c r="E2" s="98" t="n"/>
      <c r="F2" s="98" t="n"/>
      <c r="G2" s="99" t="n"/>
    </row>
    <row r="3">
      <c r="A3" s="216" t="n"/>
      <c r="B3" s="217" t="n"/>
      <c r="C3" s="218" t="n"/>
      <c r="D3" s="98" t="n"/>
      <c r="E3" s="98" t="n"/>
      <c r="F3" s="98" t="n"/>
      <c r="G3" s="100" t="n"/>
    </row>
    <row r="4" ht="27.75" customHeight="1">
      <c r="A4" s="231" t="inlineStr">
        <is>
          <t>Performance Period</t>
        </is>
      </c>
      <c r="B4" s="232" t="inlineStr">
        <is>
          <t>Purpose of Trip</t>
        </is>
      </c>
      <c r="C4" s="231" t="inlineStr">
        <is>
          <t>Associated Task/Subtask</t>
        </is>
      </c>
      <c r="D4" s="231" t="inlineStr">
        <is>
          <t>Destination</t>
        </is>
      </c>
      <c r="E4" s="231" t="inlineStr">
        <is>
          <t>Duration of Trip</t>
        </is>
      </c>
      <c r="F4" s="231" t="inlineStr">
        <is>
          <t>Organization(s) 
(list all associated with the trip)</t>
        </is>
      </c>
      <c r="G4" s="231" t="inlineStr">
        <is>
          <t>Number of Travelers</t>
        </is>
      </c>
    </row>
    <row r="5">
      <c r="A5" s="168" t="inlineStr">
        <is>
          <t xml:space="preserve">Phase I </t>
        </is>
      </c>
      <c r="B5" s="103" t="inlineStr">
        <is>
          <t>Phase I travel total ~$200,000 — DDD workshop, bake-off #1, ARPA-H reviews x2, Phase I IV&amp;V + conferences</t>
        </is>
      </c>
      <c r="C5" s="103" t="n"/>
      <c r="D5" s="103" t="n"/>
      <c r="E5" s="103" t="n"/>
      <c r="F5" s="103" t="n"/>
      <c r="G5" s="103" t="n"/>
    </row>
    <row r="6">
      <c r="A6" s="233" t="n"/>
      <c r="B6" s="103" t="inlineStr">
        <is>
          <t>Domain-Driven Design (DDD) Workshop — one-semantic-foundation schema ratification (Month 3)</t>
        </is>
      </c>
      <c r="C6" s="103" t="inlineStr">
        <is>
          <t>1.3.3 / 1.2.3</t>
        </is>
      </c>
      <c r="D6" s="103" t="inlineStr">
        <is>
          <t>Purdue University, West Lafayette, IN</t>
        </is>
      </c>
      <c r="E6" s="103" t="inlineStr">
        <is>
          <t>3 days (Month 3)</t>
        </is>
      </c>
      <c r="F6" s="103" t="inlineStr">
        <is>
          <t>Purdue/IPAI, Cytognosis, SIFT, Cellanome</t>
        </is>
      </c>
      <c r="G6" s="103" t="n">
        <v>10</v>
      </c>
    </row>
    <row r="7">
      <c r="A7" s="233" t="n"/>
      <c r="B7" s="103" t="inlineStr">
        <is>
          <t>TA3 Protocol Bake-off #1 — intra-team calibration artifacts and IV&amp;V artifact review (Month 12)</t>
        </is>
      </c>
      <c r="C7" s="103" t="inlineStr">
        <is>
          <t>1.3.1 / 1.4.0</t>
        </is>
      </c>
      <c r="D7" s="103" t="inlineStr">
        <is>
          <t>Purdue University (or rotating host lab)</t>
        </is>
      </c>
      <c r="E7" s="103" t="inlineStr">
        <is>
          <t>2 days (Month 12)</t>
        </is>
      </c>
      <c r="F7" s="103" t="inlineStr">
        <is>
          <t>Purdue/IPAI, SIFT, Cellanome, McLean</t>
        </is>
      </c>
      <c r="G7" s="103" t="n">
        <v>8</v>
      </c>
    </row>
    <row r="8">
      <c r="A8" s="233" t="n"/>
      <c r="B8" s="103" t="inlineStr">
        <is>
          <t>ARPA-H Quarterly Program Reviews — biannual in-person (Months 6 and 12)</t>
        </is>
      </c>
      <c r="C8" s="103" t="inlineStr">
        <is>
          <t>1.5.0</t>
        </is>
      </c>
      <c r="D8" s="103" t="inlineStr">
        <is>
          <t>ARPA-H, Arlington, VA</t>
        </is>
      </c>
      <c r="E8" s="103" t="inlineStr">
        <is>
          <t>1 day each (x2)</t>
        </is>
      </c>
      <c r="F8" s="103" t="inlineStr">
        <is>
          <t>PI (Grama), Cytognosis (Mohammadi), PM (Purcell)</t>
        </is>
      </c>
      <c r="G8" s="103" t="n">
        <v>3</v>
      </c>
    </row>
    <row r="9">
      <c r="A9" s="234" t="n"/>
      <c r="B9" s="104" t="inlineStr">
        <is>
          <t>Phase I IV&amp;V Review — walking-skeleton closed-loop demonstration + conference presentations (Month 17-18 + annual)</t>
        </is>
      </c>
      <c r="C9" s="103" t="inlineStr">
        <is>
          <t>1.5.0 / 1.1.0</t>
        </is>
      </c>
      <c r="D9" s="103" t="inlineStr">
        <is>
          <t>TBD (ARPA-H or Purdue) + various (ASHG, ICLR, etc.)</t>
        </is>
      </c>
      <c r="E9" s="103" t="inlineStr">
        <is>
          <t>2 days IV&amp;V + multiple conf trips</t>
        </is>
      </c>
      <c r="F9" s="103" t="inlineStr">
        <is>
          <t>All key personnel + Cytognosis (presentations)</t>
        </is>
      </c>
      <c r="G9" s="103" t="n">
        <v>12</v>
      </c>
    </row>
    <row r="10">
      <c r="A10" s="171" t="n"/>
      <c r="B10" s="235" t="n"/>
      <c r="C10" s="235" t="n"/>
      <c r="D10" s="235" t="n"/>
      <c r="E10" s="235" t="n"/>
      <c r="F10" s="235" t="n"/>
      <c r="G10" s="236" t="n"/>
    </row>
    <row r="11">
      <c r="A11" s="169" t="inlineStr">
        <is>
          <t xml:space="preserve">Phase II </t>
        </is>
      </c>
      <c r="B11" s="103" t="inlineStr">
        <is>
          <t>Phase II travel total ~$300,000 — bake-off #2, ARPA-H reviews x2, usability-study visits, Phase II IV&amp;V + conferences</t>
        </is>
      </c>
      <c r="C11" s="103" t="n"/>
      <c r="D11" s="103" t="n"/>
      <c r="E11" s="103" t="n"/>
      <c r="F11" s="103" t="n"/>
      <c r="G11" s="103" t="n"/>
    </row>
    <row r="12">
      <c r="A12" s="233" t="n"/>
      <c r="B12" s="103" t="inlineStr">
        <is>
          <t>TA3 Protocol Bake-off #2 — cross-team interoperability at &gt;=3 labs (Month 24)</t>
        </is>
      </c>
      <c r="C12" s="103" t="inlineStr">
        <is>
          <t>2.3.2</t>
        </is>
      </c>
      <c r="D12" s="103" t="inlineStr">
        <is>
          <t>TBD (rotating host lab)</t>
        </is>
      </c>
      <c r="E12" s="103" t="inlineStr">
        <is>
          <t>3 days (Month 24)</t>
        </is>
      </c>
      <c r="F12" s="103" t="inlineStr">
        <is>
          <t>SIFT, Purdue/IPAI, Cellanome, Cytognosis</t>
        </is>
      </c>
      <c r="G12" s="103" t="n">
        <v>12</v>
      </c>
    </row>
    <row r="13">
      <c r="A13" s="233" t="n"/>
      <c r="B13" s="103" t="inlineStr">
        <is>
          <t>ARPA-H Phase II Program Reviews — biannual in-person (Months 24 and 30)</t>
        </is>
      </c>
      <c r="C13" s="103" t="inlineStr">
        <is>
          <t>2.5.0</t>
        </is>
      </c>
      <c r="D13" s="103" t="inlineStr">
        <is>
          <t>ARPA-H, Arlington, VA</t>
        </is>
      </c>
      <c r="E13" s="103" t="inlineStr">
        <is>
          <t>1 day each (x2)</t>
        </is>
      </c>
      <c r="F13" s="103" t="inlineStr">
        <is>
          <t>PI, Cytognosis, PM</t>
        </is>
      </c>
      <c r="G13" s="103" t="n">
        <v>3</v>
      </c>
    </row>
    <row r="14">
      <c r="A14" s="233" t="n"/>
      <c r="B14" s="103" t="inlineStr">
        <is>
          <t>External usability study site visits — &gt;=10 domain scientists at &gt;=2 sites (Month 28-32)</t>
        </is>
      </c>
      <c r="C14" s="103" t="inlineStr">
        <is>
          <t>2.2.2</t>
        </is>
      </c>
      <c r="D14" s="103" t="inlineStr">
        <is>
          <t>Various academic sites (domestic)</t>
        </is>
      </c>
      <c r="E14" s="103" t="inlineStr">
        <is>
          <t>3 trips x 2 days</t>
        </is>
      </c>
      <c r="F14" s="103" t="inlineStr">
        <is>
          <t>Cytognosis, Purdue/IPAI</t>
        </is>
      </c>
      <c r="G14" s="103" t="n">
        <v>4</v>
      </c>
    </row>
    <row r="15">
      <c r="A15" s="234" t="n"/>
      <c r="B15" s="104" t="inlineStr">
        <is>
          <t>Phase II IV&amp;V Review — interoperability gate + &gt;=4x cycle-time milestone (Month 35-36) + conferences</t>
        </is>
      </c>
      <c r="C15" s="103" t="inlineStr">
        <is>
          <t>2.5.0 / 2.1.0</t>
        </is>
      </c>
      <c r="D15" s="103" t="inlineStr">
        <is>
          <t>TBD (ARPA-H or Purdue) + various (NeurIPS, RECOMB, ASHG)</t>
        </is>
      </c>
      <c r="E15" s="103" t="inlineStr">
        <is>
          <t>2 days IV&amp;V + multiple conf trips</t>
        </is>
      </c>
      <c r="F15" s="103" t="inlineStr">
        <is>
          <t>All key personnel + SIFT (presentations)</t>
        </is>
      </c>
      <c r="G15" s="103" t="n">
        <v>12</v>
      </c>
    </row>
    <row r="16">
      <c r="A16" s="172" t="n"/>
      <c r="B16" s="235" t="n"/>
      <c r="C16" s="235" t="n"/>
      <c r="D16" s="235" t="n"/>
      <c r="E16" s="235" t="n"/>
      <c r="F16" s="235" t="n"/>
      <c r="G16" s="236" t="n"/>
    </row>
    <row r="17">
      <c r="A17" s="170" t="inlineStr">
        <is>
          <t>Phase III</t>
        </is>
      </c>
      <c r="B17" s="103" t="inlineStr">
        <is>
          <t>Phase III travel total ~$400,000 — connect-a-thon, external user study, ARPA-H final review, standards engagement + conferences</t>
        </is>
      </c>
      <c r="C17" s="103" t="n"/>
      <c r="D17" s="103" t="n"/>
      <c r="E17" s="103" t="n"/>
      <c r="F17" s="103" t="n"/>
      <c r="G17" s="103" t="n"/>
    </row>
    <row r="18">
      <c r="A18" s="233" t="n"/>
      <c r="B18" s="103" t="inlineStr">
        <is>
          <t>Phase III Connect-a-Thon — &gt;=3 external labs execute cross-team protocols (Month 48-50)</t>
        </is>
      </c>
      <c r="C18" s="103" t="inlineStr">
        <is>
          <t>3.3.3</t>
        </is>
      </c>
      <c r="D18" s="103" t="inlineStr">
        <is>
          <t>TBD (neutral site or rotating host)</t>
        </is>
      </c>
      <c r="E18" s="103" t="inlineStr">
        <is>
          <t>3 days (Month 48-50)</t>
        </is>
      </c>
      <c r="F18" s="103" t="inlineStr">
        <is>
          <t>SIFT, Purdue/IPAI, Cellanome, Cytognosis + &gt;=3 external labs</t>
        </is>
      </c>
      <c r="G18" s="103" t="n">
        <v>20</v>
      </c>
    </row>
    <row r="19">
      <c r="A19" s="233" t="n"/>
      <c r="B19" s="103" t="inlineStr">
        <is>
          <t>External user study site visits (&gt;=20 researchers at &gt;=3 sites) (Month 42-50)</t>
        </is>
      </c>
      <c r="C19" s="103" t="inlineStr">
        <is>
          <t>3.2.2</t>
        </is>
      </c>
      <c r="D19" s="103" t="inlineStr">
        <is>
          <t>Various (domestic)</t>
        </is>
      </c>
      <c r="E19" s="103" t="inlineStr">
        <is>
          <t>4 trips x 2 days</t>
        </is>
      </c>
      <c r="F19" s="103" t="inlineStr">
        <is>
          <t>Cytognosis, Purdue/IPAI</t>
        </is>
      </c>
      <c r="G19" s="103" t="n">
        <v>4</v>
      </c>
    </row>
    <row r="20">
      <c r="A20" s="233" t="n"/>
      <c r="B20" s="103" t="inlineStr">
        <is>
          <t>ARPA-H Phase III Final Reviews + open-standards body engagement (LabOP/W3C/OBO) (Month 55-60)</t>
        </is>
      </c>
      <c r="C20" s="103" t="inlineStr">
        <is>
          <t>3.5.0 / 3.3.2</t>
        </is>
      </c>
      <c r="D20" s="103" t="inlineStr">
        <is>
          <t>ARPA-H, Arlington, VA + standards org site (TBD)</t>
        </is>
      </c>
      <c r="E20" s="103" t="inlineStr">
        <is>
          <t>2 days final review + 2 days standards workshop</t>
        </is>
      </c>
      <c r="F20" s="103" t="inlineStr">
        <is>
          <t>PI, key personnel, PM + SIFT (standards)</t>
        </is>
      </c>
      <c r="G20" s="103" t="n">
        <v>10</v>
      </c>
    </row>
    <row r="21">
      <c r="A21" s="234" t="n"/>
      <c r="B21" s="104" t="inlineStr">
        <is>
          <t>Final dissemination — conferences (ISMB, NeurIPS, Cell Symposia) + Phase III IV&amp;V review (Month 58-60)</t>
        </is>
      </c>
      <c r="C21" s="103" t="inlineStr">
        <is>
          <t>3.1.0 / 3.4.0</t>
        </is>
      </c>
      <c r="D21" s="103" t="inlineStr">
        <is>
          <t>Various (domestic + international)</t>
        </is>
      </c>
      <c r="E21" s="103" t="inlineStr">
        <is>
          <t>Multiple trips</t>
        </is>
      </c>
      <c r="F21" s="103" t="inlineStr">
        <is>
          <t>Cytognosis, Purdue/IPAI, SIFT</t>
        </is>
      </c>
      <c r="G21" s="103" t="n">
        <v>6</v>
      </c>
    </row>
    <row r="22">
      <c r="A22" s="166" t="n"/>
      <c r="B22" s="235" t="n"/>
      <c r="C22" s="235" t="n"/>
      <c r="D22" s="235" t="n"/>
      <c r="E22" s="235" t="n"/>
      <c r="F22" s="235" t="n"/>
      <c r="G22" s="236" t="n"/>
    </row>
  </sheetData>
  <mergeCells count="8">
    <mergeCell ref="A2:C3"/>
    <mergeCell ref="A17:A21"/>
    <mergeCell ref="A5:A9"/>
    <mergeCell ref="A1:C1"/>
    <mergeCell ref="A22:G22"/>
    <mergeCell ref="A16:G16"/>
    <mergeCell ref="A11:A15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Caceres, Enrique (ARPA-H) [CTR]</dc:creator>
  <dcterms:created xmlns:dcterms="http://purl.org/dc/terms/" xmlns:xsi="http://www.w3.org/2001/XMLSchema-instance" xsi:type="dcterms:W3CDTF">2024-03-18T14:21:07Z</dcterms:created>
  <dcterms:modified xmlns:dcterms="http://purl.org/dc/terms/" xmlns:xsi="http://www.w3.org/2001/XMLSchema-instance" xsi:type="dcterms:W3CDTF">2026-06-22T05:52:35Z</dcterms:modified>
  <cp:lastModifiedBy>Latrice Lyles (ARPA-H) [CTR]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0x010100E83A65023F1F564684F417E82C11F0F1</vt:lpwstr>
  </property>
  <property name="MediaServiceImageTags" fmtid="{D5CDD505-2E9C-101B-9397-08002B2CF9AE}" pid="3">
    <vt:lpwstr xmlns:vt="http://schemas.openxmlformats.org/officeDocument/2006/docPropsVTypes"/>
  </property>
</Properties>
</file>