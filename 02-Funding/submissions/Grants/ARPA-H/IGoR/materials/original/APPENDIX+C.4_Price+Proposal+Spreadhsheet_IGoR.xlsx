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arpah-my.sharepoint.com/personal/latrice_lyles_arpa-h_gov/Documents/Documents/1. Programs-Projects/IGoR/Final Solicitation/"/>
    </mc:Choice>
  </mc:AlternateContent>
  <xr:revisionPtr revIDLastSave="56" documentId="8_{1FA434EF-F830-4AE3-9B08-77077ACBB33B}" xr6:coauthVersionLast="47" xr6:coauthVersionMax="47" xr10:uidLastSave="{EC71B873-83CC-4AA5-B4B0-D9BAD3ECBBF2}"/>
  <bookViews>
    <workbookView xWindow="-98" yWindow="-98" windowWidth="19396" windowHeight="11475" tabRatio="692" firstSheet="2" xr2:uid="{90D9E42E-7E1E-4DB8-B696-F4393938BCA3}"/>
  </bookViews>
  <sheets>
    <sheet name="Instructions" sheetId="28" r:id="rId1"/>
    <sheet name="Team Structure" sheetId="29" r:id="rId2"/>
    <sheet name="Milestones and Deliverables" sheetId="23" r:id="rId3"/>
    <sheet name="Labor" sheetId="24" r:id="rId4"/>
    <sheet name="Equipment" sheetId="9" r:id="rId5"/>
    <sheet name="Travel" sheetId="10" r:id="rId6"/>
  </sheets>
  <externalReferences>
    <externalReference r:id="rId7"/>
  </externalReferences>
  <definedNames>
    <definedName name="AcademiaLaborGroups" localSheetId="2">[1]Constants!$A$21:$A$24</definedName>
    <definedName name="AcademiaLaborGroups">#REF!</definedName>
    <definedName name="GeneralLaborGroups" localSheetId="2">[1]Constants!$A$27:$A$32</definedName>
    <definedName name="GeneralLaborGroups">#REF!</definedName>
    <definedName name="IndirectRateCategories" localSheetId="2">[1]Constants!$A$113:$A$129</definedName>
    <definedName name="IndirectRateCategories">#REF!</definedName>
    <definedName name="LaborCollection" localSheetId="2">[1]Constants!$A$15</definedName>
    <definedName name="LaborCollection">#REF!</definedName>
    <definedName name="NoBusinessTypeSelected" localSheetId="2">[1]Constants!$A$18</definedName>
    <definedName name="NoBusinessTypeSelected">#REF!</definedName>
    <definedName name="Offeror.Bus.Type" localSheetId="2">'[1]Proposer Constants'!$A$4</definedName>
    <definedName name="Offeror.Bus.Type">#REF!</definedName>
    <definedName name="OfferorBusinessTypes" localSheetId="2">[1]Constants!$A$8:$A$12</definedName>
    <definedName name="OfferorBusinessTypes">#REF!</definedName>
    <definedName name="OrgList">TeamTable[Name 
(Company, University, Person, Etc.)]</definedName>
    <definedName name="Period1_Label" localSheetId="2">'[1]Proposer Constants'!$B$9</definedName>
    <definedName name="Period1_Label">#REF!</definedName>
    <definedName name="Period2_Label" localSheetId="2">'[1]Proposer Constants'!$C$9</definedName>
    <definedName name="Period2_Label">#REF!</definedName>
    <definedName name="Period3_Label" localSheetId="2">'[1]Proposer Constants'!$D$9</definedName>
    <definedName name="Period3_Label">#REF!</definedName>
    <definedName name="Period4_Label" localSheetId="2">'[1]Proposer Constants'!$E$9</definedName>
    <definedName name="Period4_Label">#REF!</definedName>
    <definedName name="Period5_Label" localSheetId="2">'[1]Proposer Constants'!$F$9</definedName>
    <definedName name="Period5_Label">#REF!</definedName>
    <definedName name="Period6_Label" localSheetId="2">'[1]Proposer Constants'!$G$9</definedName>
    <definedName name="Period6_Label">#REF!</definedName>
    <definedName name="SBIRSTTRPhaseChoices" localSheetId="2">[1]Constants!$A$135:$A$138</definedName>
    <definedName name="SBIRSTTRPhaseChoices">#REF!</definedName>
    <definedName name="SmallBusinessSizeChoices" localSheetId="2">[1]Constants!$A$143:$A$146</definedName>
    <definedName name="SmallBusinessSizeChoic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23" l="1"/>
  <c r="D5" i="23"/>
  <c r="J30" i="9" l="1"/>
  <c r="J31" i="9"/>
  <c r="J32" i="9"/>
  <c r="J33" i="9"/>
  <c r="J34" i="9"/>
  <c r="J19" i="9"/>
  <c r="J20" i="9"/>
  <c r="J21" i="9"/>
  <c r="J22" i="9"/>
  <c r="J23" i="9"/>
  <c r="J8" i="9"/>
  <c r="J9" i="9"/>
  <c r="J10" i="9"/>
  <c r="J11" i="9"/>
  <c r="J12" i="9"/>
  <c r="J35" i="9"/>
  <c r="J29" i="9"/>
  <c r="J28" i="9"/>
  <c r="J27" i="9"/>
  <c r="J26" i="9"/>
  <c r="D117" i="23"/>
  <c r="D49" i="23"/>
  <c r="D16" i="23"/>
  <c r="D60" i="23" s="1"/>
  <c r="D72" i="23"/>
  <c r="D61" i="23"/>
  <c r="D27" i="23"/>
  <c r="D38" i="23"/>
  <c r="D161" i="23"/>
  <c r="D150" i="23"/>
  <c r="D128" i="23"/>
  <c r="D105" i="23"/>
  <c r="D94" i="23"/>
  <c r="D83" i="23"/>
  <c r="D172" i="23" l="1"/>
  <c r="D116" i="23"/>
  <c r="J13" i="9"/>
  <c r="J7" i="9"/>
  <c r="J6" i="9"/>
  <c r="J5" i="9"/>
  <c r="J4" i="9"/>
  <c r="D173" i="23" l="1"/>
  <c r="J15" i="9" l="1"/>
  <c r="J16" i="9"/>
  <c r="J17" i="9"/>
  <c r="J18" i="9"/>
  <c r="J24" i="9"/>
</calcChain>
</file>

<file path=xl/sharedStrings.xml><?xml version="1.0" encoding="utf-8"?>
<sst xmlns="http://schemas.openxmlformats.org/spreadsheetml/2006/main" count="116" uniqueCount="102">
  <si>
    <t>Team Structure Sheet</t>
  </si>
  <si>
    <t>In the Role column, select the type of participant (Prime/Performer, Sub Performer, or Consultant).</t>
  </si>
  <si>
    <t>In the Name (Company, University, Person, Etc.) column, enter the legal name of each organization or individual.</t>
  </si>
  <si>
    <t>Note:</t>
  </si>
  <si>
    <t>The entries in this column are used to populate drop-down lists on other sheets (e.g., Milestones and Deliverables).
Ensure that all proposed Prime, Sub, Consultant, and Other performers are listed here so they can be selected later from drop-down menus.</t>
  </si>
  <si>
    <t>Milestones and Deliverables Sheet</t>
  </si>
  <si>
    <t>For each phase, please provide</t>
  </si>
  <si>
    <t xml:space="preserve">Task/Subtask number </t>
  </si>
  <si>
    <t>Task/Subtask title</t>
  </si>
  <si>
    <t>The total price for that specific Subtask</t>
  </si>
  <si>
    <t>The Organizations (Prime, Subs, and/or consultants) involved with completing that Task/Subtask and their associated prices. 
NOTE: (The total of all of the organization prices here should equal the total price of the subtask)</t>
  </si>
  <si>
    <t>Pricing Details - Please provide a breakdown (Labor, Travel, Equipment, etc.) to equal total amount proposed</t>
  </si>
  <si>
    <t xml:space="preserve">Description and Approach of Task/Subtask - Please be as descriptive as possible </t>
  </si>
  <si>
    <t>Exit Criteria or Metrics outcome from the Task/Subtask</t>
  </si>
  <si>
    <t>Milestone deliverable outcome of  the Task/Subtask</t>
  </si>
  <si>
    <t>Start and End dates for the Task/Subtask - MM/DD/YYYY</t>
  </si>
  <si>
    <t>When the milestone deliverable is due (within X months after award)</t>
  </si>
  <si>
    <t>Each phase will be totaled at the beginning of each phase section</t>
  </si>
  <si>
    <t>A total amount for all the phases will be calculated at the bottom, which should be the same as the total amount listed on the Appendix C.3 cover page.</t>
  </si>
  <si>
    <t>Any rows not needed can be hidden</t>
  </si>
  <si>
    <t>Add additional rows if needed, but follow the same format and structure (ensure total price calculations include any added rows)</t>
  </si>
  <si>
    <t>Labor Sheet</t>
  </si>
  <si>
    <t xml:space="preserve">The name of the individuals </t>
  </si>
  <si>
    <t>The Labor Category Proposed</t>
  </si>
  <si>
    <t>The Organization (Prime, Sub, Consultant, etc.) proposing the labor category</t>
  </si>
  <si>
    <t>The Hours needed to complete that Task/Subtask</t>
  </si>
  <si>
    <t>The Tasks/Subtasks associated with that Labor Category</t>
  </si>
  <si>
    <t>Add additional rows if needed, but follow the same format and structure</t>
  </si>
  <si>
    <t>Equipment Sheet</t>
  </si>
  <si>
    <t>Fill out each column of information (general information is provided within each)</t>
  </si>
  <si>
    <t>Only provide information on equipment with a UNIT price of $10,000 or more</t>
  </si>
  <si>
    <t>Travel Sheet</t>
  </si>
  <si>
    <t>Organization Structure</t>
  </si>
  <si>
    <t>Role</t>
  </si>
  <si>
    <t>Name 
(Company, University, Person, Etc.)</t>
  </si>
  <si>
    <t>Prime/Performer</t>
  </si>
  <si>
    <t>Sub Performer</t>
  </si>
  <si>
    <t>Consultant</t>
  </si>
  <si>
    <t xml:space="preserve">Milestones and Deliverables  </t>
  </si>
  <si>
    <t>Period</t>
  </si>
  <si>
    <t>Task/
Subtask #</t>
  </si>
  <si>
    <t>TA/Subtask Title</t>
  </si>
  <si>
    <t>Price ($)</t>
  </si>
  <si>
    <t xml:space="preserve">Organization </t>
  </si>
  <si>
    <t>Pricing Details</t>
  </si>
  <si>
    <t>Description/Approach</t>
  </si>
  <si>
    <t>Exit Criteria/Metrics</t>
  </si>
  <si>
    <t>Milestone Deliverables 
(if applicable)</t>
  </si>
  <si>
    <t>Task/Subtask Start Date</t>
  </si>
  <si>
    <t>Task/Subtask 
End Date</t>
  </si>
  <si>
    <t>Milestone Date 
(if applicable)</t>
  </si>
  <si>
    <t>SAMPLE:</t>
  </si>
  <si>
    <t>X.X</t>
  </si>
  <si>
    <t>1, 2, 3, or 4</t>
  </si>
  <si>
    <t>Prime: $25,000
Sub Performer A: $35,000
Consultant A: $40,000</t>
  </si>
  <si>
    <t>Labor: $50,000
Travel: $2,000
Subpreformers: $30,000
Equipment: $10,000
ODCs: $8,000</t>
  </si>
  <si>
    <t>Narrative</t>
  </si>
  <si>
    <t>Criteria/Metrics</t>
  </si>
  <si>
    <t>Deliverable ABC</t>
  </si>
  <si>
    <t>Phase I (18 month base)</t>
  </si>
  <si>
    <t>PHASE I TOTAL</t>
  </si>
  <si>
    <t>Phase II (18 month option)</t>
  </si>
  <si>
    <t>PHASE II TOTAL</t>
  </si>
  <si>
    <t>Phase III (24 month option)</t>
  </si>
  <si>
    <t>PHASE III TOTAL</t>
  </si>
  <si>
    <t>TOTAL PROJECT COST</t>
  </si>
  <si>
    <t xml:space="preserve">Total Project Cost </t>
  </si>
  <si>
    <t xml:space="preserve">LABOR </t>
  </si>
  <si>
    <t>All direct labor cost description/justification narrative should be located in Appendix C.3 Price Proposal</t>
  </si>
  <si>
    <t xml:space="preserve">Phase I </t>
  </si>
  <si>
    <t>Phase II</t>
  </si>
  <si>
    <t>Phase III</t>
  </si>
  <si>
    <t>Months 1-24</t>
  </si>
  <si>
    <t>Months 25-42</t>
  </si>
  <si>
    <t>Months 43-54</t>
  </si>
  <si>
    <t>LABOR 
(List each category separately)</t>
  </si>
  <si>
    <t xml:space="preserve">Name of Person Occupying Position 
</t>
  </si>
  <si>
    <t>Organization</t>
  </si>
  <si>
    <t>Hours</t>
  </si>
  <si>
    <t>Associated Task(s) &amp; Subtask(s)</t>
  </si>
  <si>
    <t>EQUIPMENT</t>
  </si>
  <si>
    <t xml:space="preserve">Item
</t>
  </si>
  <si>
    <t>Description of Equipment</t>
  </si>
  <si>
    <r>
      <t xml:space="preserve">Will the equipment be included as part of a deliverable item under the award? 
</t>
    </r>
    <r>
      <rPr>
        <sz val="12"/>
        <color rgb="FF000000"/>
        <rFont val="Avenir Next LT Pro Light"/>
        <family val="2"/>
      </rPr>
      <t>(Y/N)</t>
    </r>
  </si>
  <si>
    <t>Describe How This Equipment Will Be Used in Performing the Work</t>
  </si>
  <si>
    <t>Qty</t>
  </si>
  <si>
    <t>Unit of Issue</t>
  </si>
  <si>
    <t>Unit Price</t>
  </si>
  <si>
    <t>Total Price</t>
  </si>
  <si>
    <t>Vendor/Source</t>
  </si>
  <si>
    <r>
      <t xml:space="preserve">Basis of Estimate 
</t>
    </r>
    <r>
      <rPr>
        <sz val="12"/>
        <color rgb="FF000000"/>
        <rFont val="Avenir Next LT Pro Light"/>
        <family val="2"/>
      </rPr>
      <t>(or justification page location in Appendix C.3 Cost Proposal)</t>
    </r>
  </si>
  <si>
    <t>Phase I</t>
  </si>
  <si>
    <t xml:space="preserve"> TRAVEL</t>
  </si>
  <si>
    <t>All travel cost description/justification narrative should be located in Appendix C.3 Price Proposal</t>
  </si>
  <si>
    <t>Performance Period</t>
  </si>
  <si>
    <t>Purpose of Trip</t>
  </si>
  <si>
    <t>Associated Task/Subtask</t>
  </si>
  <si>
    <t>Destination</t>
  </si>
  <si>
    <t>Duration of Trip</t>
  </si>
  <si>
    <t>Organization(s) 
(list all associated with the trip)</t>
  </si>
  <si>
    <t>Number of Travelers</t>
  </si>
  <si>
    <t xml:space="preserve">Phase 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</si>
</sst>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_(&quot;$&quot;* #,##0_);_(&quot;$&quot;* \(#,##0\);_(&quot;$&quot;* &quot;-&quot;??_);_(@_)"/>
    <numFmt numFmtId="166" formatCode="[$-409]mmmm\ d\,\ yyyy;@"/>
  </numFmts>
  <fonts count="3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Verdana"/>
      <family val="2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venir Next LT Pro Light"/>
      <family val="2"/>
    </font>
    <font>
      <b/>
      <sz val="11"/>
      <color theme="1"/>
      <name val="Avenir Next LT Pro Light"/>
      <family val="2"/>
    </font>
    <font>
      <sz val="11"/>
      <name val="Avenir Next LT Pro Light"/>
      <family val="2"/>
    </font>
    <font>
      <b/>
      <sz val="26"/>
      <color theme="0"/>
      <name val="Avenir Next LT Pro Light"/>
      <family val="2"/>
    </font>
    <font>
      <b/>
      <sz val="16"/>
      <color theme="0"/>
      <name val="Avenir Next LT Pro Light"/>
      <family val="2"/>
    </font>
    <font>
      <b/>
      <sz val="14"/>
      <color theme="0"/>
      <name val="Avenir Next LT Pro Light"/>
      <family val="2"/>
    </font>
    <font>
      <b/>
      <sz val="16"/>
      <color theme="1"/>
      <name val="Avenir Next LT Pro Light"/>
      <family val="2"/>
    </font>
    <font>
      <i/>
      <sz val="16"/>
      <name val="Avenir Next LT Pro Light"/>
      <family val="2"/>
    </font>
    <font>
      <i/>
      <sz val="14"/>
      <name val="Avenir Next LT Pro Light"/>
      <family val="2"/>
    </font>
    <font>
      <b/>
      <sz val="16"/>
      <name val="Avenir Next LT Pro Light"/>
      <family val="2"/>
    </font>
    <font>
      <b/>
      <sz val="14"/>
      <name val="Avenir Next LT Pro Light"/>
      <family val="2"/>
    </font>
    <font>
      <b/>
      <sz val="22"/>
      <color theme="9" tint="-0.499984740745262"/>
      <name val="Avenir Next LT Pro Light"/>
      <family val="2"/>
    </font>
    <font>
      <b/>
      <sz val="18"/>
      <color theme="1"/>
      <name val="Avenir Next LT Pro Light"/>
      <family val="2"/>
    </font>
    <font>
      <b/>
      <sz val="18"/>
      <color theme="0"/>
      <name val="Avenir Next LT Pro Light"/>
      <family val="2"/>
    </font>
    <font>
      <sz val="11"/>
      <color theme="0"/>
      <name val="Avenir Next LT Pro Light"/>
      <family val="2"/>
    </font>
    <font>
      <b/>
      <sz val="22"/>
      <color theme="4" tint="-0.499984740745262"/>
      <name val="Avenir Next LT Pro Light"/>
      <family val="2"/>
    </font>
    <font>
      <b/>
      <sz val="20"/>
      <color theme="0"/>
      <name val="Avenir Next LT Pro Light"/>
      <family val="2"/>
    </font>
    <font>
      <sz val="20"/>
      <color theme="0"/>
      <name val="Avenir Next LT Pro Light"/>
      <family val="2"/>
    </font>
    <font>
      <sz val="18"/>
      <color theme="1"/>
      <name val="Avenir Next LT Pro Light"/>
      <family val="2"/>
    </font>
    <font>
      <i/>
      <sz val="11"/>
      <color theme="1"/>
      <name val="Avenir Next LT Pro Light"/>
      <family val="2"/>
    </font>
    <font>
      <b/>
      <sz val="14"/>
      <color theme="1"/>
      <name val="Avenir Next LT Pro Light"/>
      <family val="2"/>
    </font>
    <font>
      <sz val="10"/>
      <color theme="1"/>
      <name val="Avenir Next LT Pro Light"/>
      <family val="2"/>
    </font>
    <font>
      <b/>
      <sz val="12"/>
      <name val="Avenir Next LT Pro Light"/>
      <family val="2"/>
    </font>
    <font>
      <b/>
      <sz val="12"/>
      <color indexed="8"/>
      <name val="Avenir Next LT Pro Light"/>
      <family val="2"/>
    </font>
    <font>
      <sz val="12"/>
      <color rgb="FF000000"/>
      <name val="Avenir Next LT Pro Light"/>
      <family val="2"/>
    </font>
    <font>
      <b/>
      <i/>
      <sz val="11"/>
      <color theme="1"/>
      <name val="Avenir Next LT Pro Light"/>
      <family val="2"/>
    </font>
    <font>
      <sz val="12"/>
      <name val="Avenir Next LT Pro Light"/>
      <family val="2"/>
    </font>
    <font>
      <b/>
      <sz val="11"/>
      <name val="Avenir Next LT Pro Light"/>
      <family val="2"/>
    </font>
    <font>
      <b/>
      <sz val="26"/>
      <color theme="1"/>
      <name val="Avenir Next LT Pro Light"/>
      <family val="2"/>
    </font>
    <font>
      <b/>
      <sz val="11"/>
      <color rgb="FFFF0000"/>
      <name val="Avenir Next LT Pro Light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4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73">
    <xf numFmtId="0" fontId="0" fillId="0" borderId="0" xfId="0"/>
    <xf numFmtId="0" fontId="1" fillId="0" borderId="0" xfId="5" applyAlignment="1">
      <alignment vertical="center" wrapText="1"/>
    </xf>
    <xf numFmtId="0" fontId="5" fillId="0" borderId="0" xfId="0" applyFont="1"/>
    <xf numFmtId="0" fontId="5" fillId="0" borderId="0" xfId="5" applyFont="1" applyAlignment="1">
      <alignment vertical="center" wrapText="1"/>
    </xf>
    <xf numFmtId="0" fontId="6" fillId="0" borderId="19" xfId="5" applyFont="1" applyBorder="1" applyAlignment="1">
      <alignment vertical="center" wrapText="1"/>
    </xf>
    <xf numFmtId="0" fontId="6" fillId="0" borderId="18" xfId="5" applyFont="1" applyBorder="1" applyAlignment="1">
      <alignment vertical="center" wrapText="1"/>
    </xf>
    <xf numFmtId="0" fontId="6" fillId="0" borderId="0" xfId="0" applyFont="1"/>
    <xf numFmtId="0" fontId="8" fillId="0" borderId="0" xfId="0" applyFont="1"/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/>
    <xf numFmtId="0" fontId="8" fillId="3" borderId="0" xfId="0" applyFont="1" applyFill="1"/>
    <xf numFmtId="0" fontId="8" fillId="3" borderId="13" xfId="0" applyFont="1" applyFill="1" applyBorder="1" applyAlignment="1">
      <alignment horizontal="center" vertical="center"/>
    </xf>
    <xf numFmtId="0" fontId="8" fillId="3" borderId="12" xfId="0" applyFont="1" applyFill="1" applyBorder="1"/>
    <xf numFmtId="0" fontId="8" fillId="3" borderId="15" xfId="0" applyFont="1" applyFill="1" applyBorder="1"/>
    <xf numFmtId="0" fontId="10" fillId="0" borderId="2" xfId="0" applyFont="1" applyBorder="1"/>
    <xf numFmtId="0" fontId="10" fillId="0" borderId="3" xfId="0" applyFont="1" applyBorder="1"/>
    <xf numFmtId="0" fontId="8" fillId="0" borderId="3" xfId="0" applyFont="1" applyBorder="1"/>
    <xf numFmtId="0" fontId="10" fillId="0" borderId="17" xfId="0" applyFont="1" applyBorder="1"/>
    <xf numFmtId="0" fontId="8" fillId="0" borderId="16" xfId="0" applyFont="1" applyBorder="1"/>
    <xf numFmtId="0" fontId="11" fillId="0" borderId="6" xfId="5" applyFont="1" applyBorder="1" applyAlignment="1">
      <alignment vertical="center" wrapText="1"/>
    </xf>
    <xf numFmtId="0" fontId="8" fillId="0" borderId="0" xfId="5" applyFont="1" applyAlignment="1">
      <alignment vertical="center" wrapText="1"/>
    </xf>
    <xf numFmtId="0" fontId="12" fillId="4" borderId="1" xfId="5" applyFont="1" applyFill="1" applyBorder="1" applyAlignment="1">
      <alignment horizontal="center" vertical="center" wrapText="1"/>
    </xf>
    <xf numFmtId="0" fontId="13" fillId="4" borderId="1" xfId="5" applyFont="1" applyFill="1" applyBorder="1" applyAlignment="1">
      <alignment horizontal="center" vertical="center" wrapText="1"/>
    </xf>
    <xf numFmtId="165" fontId="12" fillId="4" borderId="1" xfId="6" applyNumberFormat="1" applyFont="1" applyFill="1" applyBorder="1" applyAlignment="1">
      <alignment horizontal="center" vertical="center" wrapText="1"/>
    </xf>
    <xf numFmtId="0" fontId="14" fillId="0" borderId="0" xfId="5" applyFont="1" applyAlignment="1">
      <alignment vertical="center" wrapText="1"/>
    </xf>
    <xf numFmtId="0" fontId="15" fillId="0" borderId="5" xfId="5" applyFont="1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 wrapText="1"/>
    </xf>
    <xf numFmtId="0" fontId="15" fillId="0" borderId="1" xfId="5" applyFont="1" applyBorder="1" applyAlignment="1">
      <alignment horizontal="center" vertical="center" wrapText="1"/>
    </xf>
    <xf numFmtId="165" fontId="15" fillId="0" borderId="1" xfId="6" applyNumberFormat="1" applyFont="1" applyFill="1" applyBorder="1" applyAlignment="1" applyProtection="1">
      <alignment horizontal="center" vertical="center" wrapText="1"/>
    </xf>
    <xf numFmtId="0" fontId="15" fillId="0" borderId="1" xfId="5" applyFont="1" applyBorder="1" applyAlignment="1">
      <alignment horizontal="left" vertical="center" wrapText="1"/>
    </xf>
    <xf numFmtId="166" fontId="15" fillId="0" borderId="1" xfId="5" applyNumberFormat="1" applyFont="1" applyBorder="1" applyAlignment="1">
      <alignment horizontal="center" vertical="center" wrapText="1"/>
    </xf>
    <xf numFmtId="0" fontId="15" fillId="0" borderId="0" xfId="5" applyFont="1" applyAlignment="1">
      <alignment vertical="center" wrapText="1"/>
    </xf>
    <xf numFmtId="0" fontId="17" fillId="4" borderId="5" xfId="5" applyFont="1" applyFill="1" applyBorder="1" applyAlignment="1">
      <alignment horizontal="center" vertical="center" wrapText="1"/>
    </xf>
    <xf numFmtId="0" fontId="18" fillId="4" borderId="1" xfId="5" applyFont="1" applyFill="1" applyBorder="1" applyAlignment="1">
      <alignment horizontal="center" vertical="center" wrapText="1"/>
    </xf>
    <xf numFmtId="0" fontId="17" fillId="4" borderId="1" xfId="5" applyFont="1" applyFill="1" applyBorder="1" applyAlignment="1">
      <alignment horizontal="center" vertical="center" wrapText="1"/>
    </xf>
    <xf numFmtId="165" fontId="17" fillId="4" borderId="1" xfId="6" applyNumberFormat="1" applyFont="1" applyFill="1" applyBorder="1" applyAlignment="1">
      <alignment horizontal="center" vertical="center" wrapText="1"/>
    </xf>
    <xf numFmtId="166" fontId="17" fillId="4" borderId="5" xfId="5" applyNumberFormat="1" applyFont="1" applyFill="1" applyBorder="1" applyAlignment="1">
      <alignment horizontal="center" vertical="center" wrapText="1"/>
    </xf>
    <xf numFmtId="0" fontId="17" fillId="0" borderId="0" xfId="5" applyFont="1" applyAlignment="1">
      <alignment vertical="center" wrapText="1"/>
    </xf>
    <xf numFmtId="0" fontId="20" fillId="12" borderId="1" xfId="5" applyFont="1" applyFill="1" applyBorder="1" applyAlignment="1">
      <alignment horizontal="center" vertical="center" wrapText="1"/>
    </xf>
    <xf numFmtId="0" fontId="8" fillId="12" borderId="1" xfId="5" applyFont="1" applyFill="1" applyBorder="1" applyAlignment="1">
      <alignment horizontal="left" vertical="center" wrapText="1"/>
    </xf>
    <xf numFmtId="165" fontId="9" fillId="12" borderId="3" xfId="6" applyNumberFormat="1" applyFont="1" applyFill="1" applyBorder="1" applyAlignment="1">
      <alignment vertical="center" wrapText="1"/>
    </xf>
    <xf numFmtId="0" fontId="8" fillId="12" borderId="3" xfId="5" applyFont="1" applyFill="1" applyBorder="1" applyAlignment="1">
      <alignment vertical="center" wrapText="1"/>
    </xf>
    <xf numFmtId="0" fontId="8" fillId="12" borderId="6" xfId="5" applyFont="1" applyFill="1" applyBorder="1" applyAlignment="1">
      <alignment horizontal="left" vertical="center" wrapText="1"/>
    </xf>
    <xf numFmtId="166" fontId="8" fillId="12" borderId="6" xfId="5" applyNumberFormat="1" applyFont="1" applyFill="1" applyBorder="1" applyAlignment="1">
      <alignment horizontal="left" vertical="center" wrapText="1"/>
    </xf>
    <xf numFmtId="166" fontId="8" fillId="12" borderId="2" xfId="5" applyNumberFormat="1" applyFont="1" applyFill="1" applyBorder="1" applyAlignment="1">
      <alignment horizontal="left" vertical="center" wrapText="1"/>
    </xf>
    <xf numFmtId="0" fontId="20" fillId="0" borderId="1" xfId="5" applyFont="1" applyBorder="1" applyAlignment="1">
      <alignment horizontal="center" vertical="center" wrapText="1"/>
    </xf>
    <xf numFmtId="0" fontId="8" fillId="0" borderId="1" xfId="5" applyFont="1" applyBorder="1" applyAlignment="1">
      <alignment horizontal="left" vertical="center" wrapText="1"/>
    </xf>
    <xf numFmtId="165" fontId="9" fillId="0" borderId="5" xfId="6" applyNumberFormat="1" applyFont="1" applyFill="1" applyBorder="1" applyAlignment="1">
      <alignment horizontal="center" vertical="center" wrapText="1"/>
    </xf>
    <xf numFmtId="0" fontId="8" fillId="0" borderId="3" xfId="5" applyFont="1" applyBorder="1" applyAlignment="1">
      <alignment horizontal="left" vertical="center" wrapText="1"/>
    </xf>
    <xf numFmtId="0" fontId="8" fillId="0" borderId="4" xfId="5" applyFont="1" applyBorder="1" applyAlignment="1">
      <alignment horizontal="left" vertical="center" wrapText="1"/>
    </xf>
    <xf numFmtId="166" fontId="8" fillId="0" borderId="4" xfId="5" applyNumberFormat="1" applyFont="1" applyBorder="1" applyAlignment="1">
      <alignment horizontal="left" vertical="center" wrapText="1"/>
    </xf>
    <xf numFmtId="166" fontId="8" fillId="0" borderId="1" xfId="5" applyNumberFormat="1" applyFont="1" applyBorder="1" applyAlignment="1">
      <alignment horizontal="left" vertical="center" wrapText="1"/>
    </xf>
    <xf numFmtId="2" fontId="20" fillId="0" borderId="1" xfId="5" applyNumberFormat="1" applyFont="1" applyBorder="1" applyAlignment="1">
      <alignment horizontal="center" vertical="center" wrapText="1"/>
    </xf>
    <xf numFmtId="0" fontId="8" fillId="0" borderId="5" xfId="5" applyFont="1" applyBorder="1" applyAlignment="1">
      <alignment horizontal="left" vertical="center" wrapText="1"/>
    </xf>
    <xf numFmtId="166" fontId="8" fillId="0" borderId="5" xfId="5" applyNumberFormat="1" applyFont="1" applyBorder="1" applyAlignment="1">
      <alignment horizontal="left" vertical="center" wrapText="1"/>
    </xf>
    <xf numFmtId="165" fontId="9" fillId="12" borderId="1" xfId="6" applyNumberFormat="1" applyFont="1" applyFill="1" applyBorder="1" applyAlignment="1">
      <alignment vertical="center" wrapText="1"/>
    </xf>
    <xf numFmtId="165" fontId="21" fillId="4" borderId="3" xfId="6" applyNumberFormat="1" applyFont="1" applyFill="1" applyBorder="1" applyAlignment="1">
      <alignment vertical="center" wrapText="1"/>
    </xf>
    <xf numFmtId="165" fontId="21" fillId="4" borderId="6" xfId="6" applyNumberFormat="1" applyFont="1" applyFill="1" applyBorder="1" applyAlignment="1">
      <alignment vertical="center" wrapText="1"/>
    </xf>
    <xf numFmtId="0" fontId="20" fillId="6" borderId="1" xfId="5" applyFont="1" applyFill="1" applyBorder="1" applyAlignment="1">
      <alignment horizontal="center" vertical="center" wrapText="1"/>
    </xf>
    <xf numFmtId="0" fontId="8" fillId="6" borderId="1" xfId="5" applyFont="1" applyFill="1" applyBorder="1" applyAlignment="1">
      <alignment horizontal="left" vertical="center" wrapText="1"/>
    </xf>
    <xf numFmtId="165" fontId="9" fillId="6" borderId="1" xfId="6" applyNumberFormat="1" applyFont="1" applyFill="1" applyBorder="1" applyAlignment="1">
      <alignment vertical="center" wrapText="1"/>
    </xf>
    <xf numFmtId="0" fontId="8" fillId="6" borderId="3" xfId="5" applyFont="1" applyFill="1" applyBorder="1" applyAlignment="1">
      <alignment vertical="center" wrapText="1"/>
    </xf>
    <xf numFmtId="0" fontId="8" fillId="6" borderId="6" xfId="5" applyFont="1" applyFill="1" applyBorder="1" applyAlignment="1">
      <alignment horizontal="left" vertical="center" wrapText="1"/>
    </xf>
    <xf numFmtId="166" fontId="8" fillId="6" borderId="6" xfId="5" applyNumberFormat="1" applyFont="1" applyFill="1" applyBorder="1" applyAlignment="1">
      <alignment horizontal="left" vertical="center" wrapText="1"/>
    </xf>
    <xf numFmtId="166" fontId="8" fillId="6" borderId="2" xfId="5" applyNumberFormat="1" applyFont="1" applyFill="1" applyBorder="1" applyAlignment="1">
      <alignment horizontal="left" vertical="center" wrapText="1"/>
    </xf>
    <xf numFmtId="165" fontId="21" fillId="4" borderId="1" xfId="6" applyNumberFormat="1" applyFont="1" applyFill="1" applyBorder="1" applyAlignment="1">
      <alignment vertical="center" wrapText="1"/>
    </xf>
    <xf numFmtId="0" fontId="20" fillId="9" borderId="1" xfId="5" applyFont="1" applyFill="1" applyBorder="1" applyAlignment="1">
      <alignment horizontal="center" vertical="center" wrapText="1"/>
    </xf>
    <xf numFmtId="0" fontId="8" fillId="9" borderId="1" xfId="5" applyFont="1" applyFill="1" applyBorder="1" applyAlignment="1">
      <alignment horizontal="left" vertical="center" wrapText="1"/>
    </xf>
    <xf numFmtId="165" fontId="9" fillId="9" borderId="1" xfId="6" applyNumberFormat="1" applyFont="1" applyFill="1" applyBorder="1" applyAlignment="1">
      <alignment vertical="center" wrapText="1"/>
    </xf>
    <xf numFmtId="0" fontId="8" fillId="9" borderId="3" xfId="5" applyFont="1" applyFill="1" applyBorder="1" applyAlignment="1">
      <alignment vertical="center" wrapText="1"/>
    </xf>
    <xf numFmtId="0" fontId="8" fillId="9" borderId="6" xfId="5" applyFont="1" applyFill="1" applyBorder="1" applyAlignment="1">
      <alignment horizontal="left" vertical="center" wrapText="1"/>
    </xf>
    <xf numFmtId="166" fontId="8" fillId="9" borderId="6" xfId="5" applyNumberFormat="1" applyFont="1" applyFill="1" applyBorder="1" applyAlignment="1">
      <alignment horizontal="left" vertical="center" wrapText="1"/>
    </xf>
    <xf numFmtId="166" fontId="8" fillId="9" borderId="2" xfId="5" applyNumberFormat="1" applyFont="1" applyFill="1" applyBorder="1" applyAlignment="1">
      <alignment horizontal="left" vertical="center" wrapText="1"/>
    </xf>
    <xf numFmtId="0" fontId="24" fillId="4" borderId="3" xfId="5" applyFont="1" applyFill="1" applyBorder="1" applyAlignment="1">
      <alignment horizontal="right" vertical="center" wrapText="1"/>
    </xf>
    <xf numFmtId="0" fontId="24" fillId="4" borderId="6" xfId="5" applyFont="1" applyFill="1" applyBorder="1" applyAlignment="1">
      <alignment horizontal="right" vertical="center" wrapText="1"/>
    </xf>
    <xf numFmtId="0" fontId="24" fillId="4" borderId="2" xfId="5" applyFont="1" applyFill="1" applyBorder="1" applyAlignment="1">
      <alignment horizontal="right" vertical="center" wrapText="1"/>
    </xf>
    <xf numFmtId="165" fontId="24" fillId="4" borderId="1" xfId="6" applyNumberFormat="1" applyFont="1" applyFill="1" applyBorder="1" applyAlignment="1">
      <alignment vertical="center" wrapText="1"/>
    </xf>
    <xf numFmtId="0" fontId="20" fillId="0" borderId="0" xfId="5" applyFont="1" applyAlignment="1">
      <alignment horizontal="center" vertical="center" wrapText="1"/>
    </xf>
    <xf numFmtId="0" fontId="26" fillId="0" borderId="0" xfId="5" applyFont="1" applyAlignment="1">
      <alignment horizontal="left" vertical="center" wrapText="1"/>
    </xf>
    <xf numFmtId="165" fontId="8" fillId="0" borderId="0" xfId="6" applyNumberFormat="1" applyFont="1" applyBorder="1" applyAlignment="1">
      <alignment vertical="center" wrapText="1"/>
    </xf>
    <xf numFmtId="0" fontId="8" fillId="0" borderId="0" xfId="5" applyFont="1" applyAlignment="1">
      <alignment horizontal="left" vertical="center" wrapText="1"/>
    </xf>
    <xf numFmtId="166" fontId="8" fillId="0" borderId="0" xfId="5" applyNumberFormat="1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27" fillId="0" borderId="0" xfId="0" applyFont="1" applyAlignment="1">
      <alignment wrapText="1"/>
    </xf>
    <xf numFmtId="0" fontId="8" fillId="10" borderId="1" xfId="0" applyFont="1" applyFill="1" applyBorder="1" applyAlignment="1">
      <alignment horizontal="center"/>
    </xf>
    <xf numFmtId="0" fontId="9" fillId="0" borderId="1" xfId="0" applyFont="1" applyBorder="1" applyAlignment="1">
      <alignment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/>
    <xf numFmtId="0" fontId="8" fillId="0" borderId="1" xfId="1" applyNumberFormat="1" applyFont="1" applyBorder="1"/>
    <xf numFmtId="44" fontId="8" fillId="10" borderId="1" xfId="1" applyFont="1" applyFill="1" applyBorder="1"/>
    <xf numFmtId="0" fontId="29" fillId="0" borderId="1" xfId="0" applyFont="1" applyBorder="1" applyAlignment="1">
      <alignment vertical="center" wrapText="1"/>
    </xf>
    <xf numFmtId="0" fontId="30" fillId="0" borderId="1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44" fontId="8" fillId="0" borderId="1" xfId="1" applyFont="1" applyBorder="1"/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left" wrapText="1"/>
    </xf>
    <xf numFmtId="0" fontId="34" fillId="0" borderId="0" xfId="3" applyFont="1"/>
    <xf numFmtId="0" fontId="35" fillId="0" borderId="0" xfId="3" applyFont="1"/>
    <xf numFmtId="164" fontId="35" fillId="2" borderId="1" xfId="3" quotePrefix="1" applyNumberFormat="1" applyFont="1" applyFill="1" applyBorder="1" applyAlignment="1">
      <alignment horizontal="center" wrapText="1"/>
    </xf>
    <xf numFmtId="164" fontId="35" fillId="0" borderId="1" xfId="3" quotePrefix="1" applyNumberFormat="1" applyFont="1" applyBorder="1" applyAlignment="1">
      <alignment horizontal="center" wrapText="1"/>
    </xf>
    <xf numFmtId="49" fontId="10" fillId="0" borderId="1" xfId="3" applyNumberFormat="1" applyFont="1" applyBorder="1" applyAlignment="1" applyProtection="1">
      <alignment horizontal="left" vertical="center" wrapText="1"/>
      <protection locked="0"/>
    </xf>
    <xf numFmtId="49" fontId="10" fillId="0" borderId="1" xfId="3" applyNumberFormat="1" applyFont="1" applyBorder="1" applyAlignment="1" applyProtection="1">
      <alignment vertical="center" wrapText="1"/>
      <protection locked="0"/>
    </xf>
    <xf numFmtId="0" fontId="8" fillId="12" borderId="6" xfId="5" applyFont="1" applyFill="1" applyBorder="1" applyAlignment="1">
      <alignment vertical="center" wrapText="1"/>
    </xf>
    <xf numFmtId="0" fontId="8" fillId="0" borderId="18" xfId="5" applyFont="1" applyBorder="1" applyAlignment="1">
      <alignment horizontal="left" vertical="center" wrapText="1"/>
    </xf>
    <xf numFmtId="0" fontId="8" fillId="0" borderId="16" xfId="5" applyFont="1" applyBorder="1" applyAlignment="1">
      <alignment horizontal="left" vertical="center" wrapText="1"/>
    </xf>
    <xf numFmtId="0" fontId="8" fillId="6" borderId="6" xfId="5" applyFont="1" applyFill="1" applyBorder="1" applyAlignment="1">
      <alignment vertical="center" wrapText="1"/>
    </xf>
    <xf numFmtId="0" fontId="8" fillId="9" borderId="6" xfId="5" applyFont="1" applyFill="1" applyBorder="1" applyAlignment="1">
      <alignment vertical="center" wrapText="1"/>
    </xf>
    <xf numFmtId="165" fontId="24" fillId="4" borderId="3" xfId="6" applyNumberFormat="1" applyFont="1" applyFill="1" applyBorder="1" applyAlignment="1">
      <alignment vertical="center" wrapText="1"/>
    </xf>
    <xf numFmtId="0" fontId="37" fillId="0" borderId="0" xfId="0" applyFont="1"/>
    <xf numFmtId="0" fontId="9" fillId="0" borderId="1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wrapText="1"/>
    </xf>
    <xf numFmtId="49" fontId="8" fillId="3" borderId="12" xfId="0" applyNumberFormat="1" applyFont="1" applyFill="1" applyBorder="1" applyAlignment="1">
      <alignment horizontal="left" vertical="top" wrapText="1"/>
    </xf>
    <xf numFmtId="0" fontId="8" fillId="3" borderId="9" xfId="0" applyFont="1" applyFill="1" applyBorder="1" applyAlignment="1">
      <alignment horizontal="left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vertical="top"/>
    </xf>
    <xf numFmtId="0" fontId="8" fillId="3" borderId="9" xfId="0" applyFont="1" applyFill="1" applyBorder="1" applyAlignment="1">
      <alignment vertical="top"/>
    </xf>
    <xf numFmtId="0" fontId="7" fillId="0" borderId="1" xfId="0" applyFont="1" applyBorder="1" applyAlignment="1">
      <alignment horizontal="center"/>
    </xf>
    <xf numFmtId="0" fontId="19" fillId="12" borderId="5" xfId="5" applyFont="1" applyFill="1" applyBorder="1" applyAlignment="1">
      <alignment horizontal="center" vertical="center" wrapText="1"/>
    </xf>
    <xf numFmtId="0" fontId="19" fillId="12" borderId="7" xfId="5" applyFont="1" applyFill="1" applyBorder="1" applyAlignment="1">
      <alignment horizontal="center" vertical="center" wrapText="1"/>
    </xf>
    <xf numFmtId="0" fontId="19" fillId="12" borderId="4" xfId="5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25" fillId="4" borderId="3" xfId="5" applyFont="1" applyFill="1" applyBorder="1" applyAlignment="1">
      <alignment horizontal="center" vertical="center" wrapText="1"/>
    </xf>
    <xf numFmtId="0" fontId="25" fillId="4" borderId="6" xfId="5" applyFont="1" applyFill="1" applyBorder="1" applyAlignment="1">
      <alignment horizontal="center" vertical="center" wrapText="1"/>
    </xf>
    <xf numFmtId="0" fontId="21" fillId="4" borderId="3" xfId="5" applyFont="1" applyFill="1" applyBorder="1" applyAlignment="1">
      <alignment horizontal="right" vertical="center" wrapText="1"/>
    </xf>
    <xf numFmtId="0" fontId="21" fillId="4" borderId="6" xfId="5" applyFont="1" applyFill="1" applyBorder="1" applyAlignment="1">
      <alignment horizontal="right" vertical="center" wrapText="1"/>
    </xf>
    <xf numFmtId="0" fontId="21" fillId="4" borderId="2" xfId="5" applyFont="1" applyFill="1" applyBorder="1" applyAlignment="1">
      <alignment horizontal="right" vertical="center" wrapText="1"/>
    </xf>
    <xf numFmtId="0" fontId="22" fillId="4" borderId="3" xfId="5" applyFont="1" applyFill="1" applyBorder="1" applyAlignment="1">
      <alignment horizontal="center" vertical="center" wrapText="1"/>
    </xf>
    <xf numFmtId="0" fontId="22" fillId="4" borderId="6" xfId="5" applyFont="1" applyFill="1" applyBorder="1" applyAlignment="1">
      <alignment horizontal="center" vertical="center" wrapText="1"/>
    </xf>
    <xf numFmtId="0" fontId="23" fillId="6" borderId="5" xfId="5" applyFont="1" applyFill="1" applyBorder="1" applyAlignment="1">
      <alignment horizontal="center" vertical="center" wrapText="1"/>
    </xf>
    <xf numFmtId="0" fontId="23" fillId="6" borderId="7" xfId="5" applyFont="1" applyFill="1" applyBorder="1" applyAlignment="1">
      <alignment horizontal="center" vertical="center" wrapText="1"/>
    </xf>
    <xf numFmtId="0" fontId="23" fillId="6" borderId="4" xfId="5" applyFont="1" applyFill="1" applyBorder="1" applyAlignment="1">
      <alignment horizontal="center" vertical="center" wrapText="1"/>
    </xf>
    <xf numFmtId="0" fontId="23" fillId="9" borderId="5" xfId="5" applyFont="1" applyFill="1" applyBorder="1" applyAlignment="1">
      <alignment horizontal="center" vertical="center" wrapText="1"/>
    </xf>
    <xf numFmtId="0" fontId="23" fillId="9" borderId="7" xfId="5" applyFont="1" applyFill="1" applyBorder="1" applyAlignment="1">
      <alignment horizontal="center" vertical="center" wrapText="1"/>
    </xf>
    <xf numFmtId="0" fontId="23" fillId="9" borderId="4" xfId="5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wrapText="1"/>
    </xf>
    <xf numFmtId="0" fontId="27" fillId="0" borderId="5" xfId="0" applyFont="1" applyBorder="1" applyAlignment="1">
      <alignment horizontal="center" wrapText="1"/>
    </xf>
    <xf numFmtId="0" fontId="28" fillId="5" borderId="1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28" fillId="0" borderId="16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33" fillId="8" borderId="3" xfId="0" applyFont="1" applyFill="1" applyBorder="1" applyAlignment="1">
      <alignment horizontal="center"/>
    </xf>
    <xf numFmtId="0" fontId="33" fillId="8" borderId="6" xfId="0" applyFont="1" applyFill="1" applyBorder="1" applyAlignment="1">
      <alignment horizontal="center"/>
    </xf>
    <xf numFmtId="0" fontId="33" fillId="8" borderId="2" xfId="0" applyFont="1" applyFill="1" applyBorder="1" applyAlignment="1">
      <alignment horizontal="center"/>
    </xf>
    <xf numFmtId="0" fontId="33" fillId="9" borderId="3" xfId="0" applyFont="1" applyFill="1" applyBorder="1" applyAlignment="1">
      <alignment horizontal="center"/>
    </xf>
    <xf numFmtId="0" fontId="33" fillId="9" borderId="6" xfId="0" applyFont="1" applyFill="1" applyBorder="1" applyAlignment="1">
      <alignment horizontal="center"/>
    </xf>
    <xf numFmtId="0" fontId="33" fillId="9" borderId="2" xfId="0" applyFont="1" applyFill="1" applyBorder="1" applyAlignment="1">
      <alignment horizontal="center"/>
    </xf>
    <xf numFmtId="0" fontId="33" fillId="11" borderId="3" xfId="0" applyFont="1" applyFill="1" applyBorder="1" applyAlignment="1">
      <alignment horizontal="center"/>
    </xf>
    <xf numFmtId="0" fontId="33" fillId="11" borderId="6" xfId="0" applyFont="1" applyFill="1" applyBorder="1" applyAlignment="1">
      <alignment horizontal="center"/>
    </xf>
    <xf numFmtId="0" fontId="33" fillId="11" borderId="2" xfId="0" applyFont="1" applyFill="1" applyBorder="1" applyAlignment="1">
      <alignment horizontal="center"/>
    </xf>
    <xf numFmtId="49" fontId="35" fillId="9" borderId="1" xfId="3" applyNumberFormat="1" applyFont="1" applyFill="1" applyBorder="1" applyAlignment="1" applyProtection="1">
      <alignment horizontal="right" vertical="center" wrapText="1"/>
      <protection locked="0"/>
    </xf>
    <xf numFmtId="0" fontId="27" fillId="0" borderId="1" xfId="0" applyFont="1" applyBorder="1" applyAlignment="1">
      <alignment horizontal="left" wrapText="1"/>
    </xf>
    <xf numFmtId="49" fontId="35" fillId="8" borderId="1" xfId="3" applyNumberFormat="1" applyFont="1" applyFill="1" applyBorder="1" applyAlignment="1" applyProtection="1">
      <alignment horizontal="center" vertical="center" wrapText="1"/>
      <protection locked="0"/>
    </xf>
    <xf numFmtId="49" fontId="35" fillId="7" borderId="1" xfId="3" applyNumberFormat="1" applyFont="1" applyFill="1" applyBorder="1" applyAlignment="1" applyProtection="1">
      <alignment horizontal="center" vertical="center" wrapText="1"/>
      <protection locked="0"/>
    </xf>
    <xf numFmtId="49" fontId="35" fillId="9" borderId="1" xfId="3" applyNumberFormat="1" applyFont="1" applyFill="1" applyBorder="1" applyAlignment="1" applyProtection="1">
      <alignment horizontal="center" vertical="center" wrapText="1"/>
      <protection locked="0"/>
    </xf>
    <xf numFmtId="49" fontId="35" fillId="8" borderId="1" xfId="3" applyNumberFormat="1" applyFont="1" applyFill="1" applyBorder="1" applyAlignment="1" applyProtection="1">
      <alignment horizontal="right" vertical="center" wrapText="1"/>
      <protection locked="0"/>
    </xf>
    <xf numFmtId="49" fontId="35" fillId="7" borderId="1" xfId="3" applyNumberFormat="1" applyFont="1" applyFill="1" applyBorder="1" applyAlignment="1" applyProtection="1">
      <alignment horizontal="right" vertical="center" wrapText="1"/>
      <protection locked="0"/>
    </xf>
  </cellXfs>
  <cellStyles count="7">
    <cellStyle name="Currency" xfId="1" builtinId="4"/>
    <cellStyle name="Currency 2" xfId="4" xr:uid="{A06280BD-3B5A-4810-B697-E7F9EC8A4ADF}"/>
    <cellStyle name="Currency 2 2" xfId="6" xr:uid="{B715DA93-D4B0-477F-930F-EAE7B4288F33}"/>
    <cellStyle name="Normal" xfId="0" builtinId="0"/>
    <cellStyle name="Normal 2" xfId="3" xr:uid="{A3F16133-12FC-4E92-BB8A-B04B6A1E5A41}"/>
    <cellStyle name="Normal 3 2" xfId="5" xr:uid="{6D9E7835-7F18-4480-A3DE-A4C933A9DE4F}"/>
    <cellStyle name="Normal_020812 Navy LowCostCS Costing" xfId="2" xr:uid="{062019D6-3CEC-4E3E-82AC-A2A6190DDBC5}"/>
  </cellStyles>
  <dxfs count="7">
    <dxf>
      <font>
        <strike val="0"/>
        <outline val="0"/>
        <shadow val="0"/>
        <u val="none"/>
        <vertAlign val="baseline"/>
        <sz val="11"/>
        <name val="Avenir Next LT Pro Light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Next LT Pro Light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venir Next LT Pro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h-my.sharepoint.com/personal/cacereses_nih_gov/Documents/Microsoft%20Teams%20Chat%20Files/DARPAStandardCostProposalSpreadsheetMultiple%20TAs11-2021-v4.xlsx" TargetMode="External"/><Relationship Id="rId1" Type="http://schemas.openxmlformats.org/officeDocument/2006/relationships/externalLinkPath" Target="https://arpah.sharepoint.com/personal/cacereses_nih_gov/Documents/Microsoft%20Teams%20Chat%20Files/DARPAStandardCostProposalSpreadsheetMultiple%20TAs11-2021-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"/>
      <sheetName val="Instructions"/>
      <sheetName val="Change Notes"/>
      <sheetName val="Constants"/>
      <sheetName val="Proposer Constants"/>
      <sheetName val="Labor Rates"/>
      <sheetName val="Summary Cost Table"/>
      <sheetName val="Indirect Rates and Profit_Fee"/>
      <sheetName val="Total Amount"/>
      <sheetName val="TA Summary"/>
      <sheetName val="Base (Phase 1)"/>
      <sheetName val="Phase 1 TA 1"/>
      <sheetName val="Phase 1 TA 2"/>
      <sheetName val="Phase 1 TA 3"/>
      <sheetName val="O-I (Phase 2)"/>
      <sheetName val="Phase 2 TA 1"/>
      <sheetName val="Phase 2 TA 2"/>
      <sheetName val="Phase 2 TA 3"/>
      <sheetName val="O-II (Phase 3)"/>
      <sheetName val="O-III"/>
      <sheetName val="O-IV"/>
      <sheetName val="O-V"/>
      <sheetName val="Phase 3 TA 1"/>
      <sheetName val="Phase 3 TA 2"/>
      <sheetName val="Phase 3 TA 3"/>
      <sheetName val="Subcontractor"/>
      <sheetName val="Consultants"/>
      <sheetName val="Materials-Supplies"/>
      <sheetName val="Equipment"/>
      <sheetName val="Travel"/>
      <sheetName val="ODC Details"/>
      <sheetName val="Animal-Human Use Y-N"/>
      <sheetName val="Animal Related"/>
      <sheetName val="Human Subjects Research"/>
      <sheetName val="Expenditures by Month"/>
      <sheetName val="Task 1"/>
      <sheetName val="Task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331158-B3DE-484A-9F6F-E0F360A4E38C}" name="TeamTable" displayName="TeamTable" ref="A2:B26" totalsRowShown="0" headerRowDxfId="6" dataDxfId="5" headerRowBorderDxfId="3" tableBorderDxfId="4" totalsRowBorderDxfId="2" headerRowCellStyle="Normal 3 2">
  <autoFilter ref="A2:B26" xr:uid="{A2331158-B3DE-484A-9F6F-E0F360A4E38C}"/>
  <tableColumns count="2">
    <tableColumn id="1" xr3:uid="{F68E0095-21C9-460B-B8B6-9391E8940471}" name="Role" dataDxfId="1"/>
    <tableColumn id="2" xr3:uid="{5EF8B87D-C26D-4B14-AAE2-342A89C4BADE}" name="Name _x000a_(Company, University, Person, Etc.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3D6B-FC58-4592-B59C-4F6A81847FE0}">
  <dimension ref="A1:O44"/>
  <sheetViews>
    <sheetView tabSelected="1" topLeftCell="A10" zoomScale="90" zoomScaleNormal="90" workbookViewId="0">
      <selection activeCell="B26" sqref="B26:M26"/>
    </sheetView>
  </sheetViews>
  <sheetFormatPr defaultColWidth="9" defaultRowHeight="13.9"/>
  <cols>
    <col min="1" max="16384" width="9" style="7"/>
  </cols>
  <sheetData>
    <row r="1" spans="1:15" ht="14.25" thickBot="1"/>
    <row r="2" spans="1:15">
      <c r="A2" s="113" t="s">
        <v>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5"/>
    </row>
    <row r="3" spans="1:15" ht="28.5" customHeight="1">
      <c r="A3" s="8">
        <v>1</v>
      </c>
      <c r="B3" s="116" t="s">
        <v>1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9"/>
    </row>
    <row r="4" spans="1:15">
      <c r="A4" s="8">
        <v>2</v>
      </c>
      <c r="B4" s="117" t="s">
        <v>2</v>
      </c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9"/>
    </row>
    <row r="5" spans="1:15">
      <c r="A5" s="8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9"/>
    </row>
    <row r="6" spans="1:15" ht="46.5" customHeight="1">
      <c r="A6" s="8" t="s">
        <v>3</v>
      </c>
      <c r="B6" s="117" t="s">
        <v>4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9"/>
    </row>
    <row r="7" spans="1:15" ht="14.25" thickBo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1:15" ht="14.25" thickBot="1"/>
    <row r="9" spans="1:15">
      <c r="A9" s="113" t="s">
        <v>5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5"/>
    </row>
    <row r="10" spans="1:15">
      <c r="A10" s="8">
        <v>1</v>
      </c>
      <c r="B10" s="10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9"/>
    </row>
    <row r="11" spans="1:15">
      <c r="A11" s="8"/>
      <c r="B11" s="10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9"/>
    </row>
    <row r="12" spans="1:15">
      <c r="A12" s="8"/>
      <c r="B12" s="10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9"/>
    </row>
    <row r="13" spans="1:15">
      <c r="A13" s="8"/>
      <c r="B13" s="10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9"/>
    </row>
    <row r="14" spans="1:15" ht="29.25" customHeight="1">
      <c r="A14" s="8"/>
      <c r="B14" s="117" t="s">
        <v>10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9"/>
      <c r="O14" s="111"/>
    </row>
    <row r="15" spans="1:15" ht="17.649999999999999" customHeight="1">
      <c r="A15" s="8"/>
      <c r="B15" s="116" t="s">
        <v>11</v>
      </c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20"/>
      <c r="O15" s="111"/>
    </row>
    <row r="16" spans="1:15">
      <c r="A16" s="8"/>
      <c r="B16" s="10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9"/>
    </row>
    <row r="17" spans="1:14">
      <c r="A17" s="8"/>
      <c r="B17" s="10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9"/>
    </row>
    <row r="18" spans="1:14">
      <c r="A18" s="8"/>
      <c r="B18" s="10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9"/>
    </row>
    <row r="19" spans="1:14">
      <c r="A19" s="8"/>
      <c r="B19" s="10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9"/>
    </row>
    <row r="20" spans="1:14">
      <c r="A20" s="8"/>
      <c r="B20" s="10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9"/>
    </row>
    <row r="21" spans="1:14">
      <c r="A21" s="8">
        <v>2</v>
      </c>
      <c r="B21" s="10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9"/>
    </row>
    <row r="22" spans="1:14" ht="31.5" customHeight="1">
      <c r="A22" s="8">
        <v>3</v>
      </c>
      <c r="B22" s="116" t="s">
        <v>18</v>
      </c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9"/>
    </row>
    <row r="23" spans="1:14">
      <c r="A23" s="8">
        <v>4</v>
      </c>
      <c r="B23" s="10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9"/>
    </row>
    <row r="24" spans="1:14" ht="30.75" customHeight="1">
      <c r="A24" s="8">
        <v>5</v>
      </c>
      <c r="B24" s="117" t="s">
        <v>20</v>
      </c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9"/>
    </row>
    <row r="25" spans="1:14">
      <c r="A25" s="8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9"/>
    </row>
    <row r="26" spans="1:14" ht="12.75" customHeight="1" thickBot="1">
      <c r="A26" s="11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3"/>
    </row>
    <row r="27" spans="1:14" ht="14.25" thickBot="1"/>
    <row r="28" spans="1:14">
      <c r="A28" s="113" t="s">
        <v>21</v>
      </c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5"/>
    </row>
    <row r="29" spans="1:14" ht="15">
      <c r="A29" s="8">
        <v>1</v>
      </c>
      <c r="B29" s="10" t="s">
        <v>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9"/>
    </row>
    <row r="30" spans="1:14" ht="15">
      <c r="A30" s="8"/>
      <c r="B30" s="121" t="s">
        <v>22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2"/>
    </row>
    <row r="31" spans="1:14" ht="15">
      <c r="A31" s="8"/>
      <c r="B31" s="10" t="s">
        <v>23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9"/>
    </row>
    <row r="32" spans="1:14">
      <c r="A32" s="8"/>
      <c r="B32" s="10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9"/>
    </row>
    <row r="33" spans="1:14">
      <c r="A33" s="8"/>
      <c r="B33" s="10" t="s">
        <v>25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9"/>
    </row>
    <row r="34" spans="1:14">
      <c r="A34" s="8"/>
      <c r="B34" s="10" t="s">
        <v>26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9"/>
    </row>
    <row r="35" spans="1:14" ht="14.25" thickBot="1">
      <c r="A35" s="11">
        <v>2</v>
      </c>
      <c r="B35" s="12" t="s">
        <v>27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3"/>
    </row>
    <row r="36" spans="1:14" ht="14.25" thickBot="1"/>
    <row r="37" spans="1:14">
      <c r="A37" s="113" t="s">
        <v>28</v>
      </c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5"/>
    </row>
    <row r="38" spans="1:14">
      <c r="A38" s="8">
        <v>1</v>
      </c>
      <c r="B38" s="10" t="s">
        <v>29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9"/>
    </row>
    <row r="39" spans="1:14">
      <c r="A39" s="8">
        <v>2</v>
      </c>
      <c r="B39" s="10" t="s">
        <v>30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9"/>
    </row>
    <row r="40" spans="1:14" ht="14.25" thickBot="1">
      <c r="A40" s="11">
        <v>3</v>
      </c>
      <c r="B40" s="12" t="s">
        <v>27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3"/>
    </row>
    <row r="41" spans="1:14" ht="14.25" thickBot="1"/>
    <row r="42" spans="1:14">
      <c r="A42" s="113" t="s">
        <v>31</v>
      </c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5"/>
    </row>
    <row r="43" spans="1:14">
      <c r="A43" s="8">
        <v>1</v>
      </c>
      <c r="B43" s="10" t="s">
        <v>29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9"/>
    </row>
    <row r="44" spans="1:14" ht="14.25" thickBot="1">
      <c r="A44" s="11">
        <v>2</v>
      </c>
      <c r="B44" s="12" t="s">
        <v>27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3"/>
    </row>
  </sheetData>
  <mergeCells count="14">
    <mergeCell ref="A28:N28"/>
    <mergeCell ref="A37:N37"/>
    <mergeCell ref="A42:N42"/>
    <mergeCell ref="A2:N2"/>
    <mergeCell ref="B3:M3"/>
    <mergeCell ref="B4:M4"/>
    <mergeCell ref="B6:M6"/>
    <mergeCell ref="B26:M26"/>
    <mergeCell ref="A9:N9"/>
    <mergeCell ref="B14:N14"/>
    <mergeCell ref="B22:M22"/>
    <mergeCell ref="B24:M24"/>
    <mergeCell ref="B15:N15"/>
    <mergeCell ref="B30:N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9589-8F3B-43CE-A706-845A22B57164}">
  <dimension ref="A1:K26"/>
  <sheetViews>
    <sheetView workbookViewId="0">
      <selection sqref="A1:B1"/>
    </sheetView>
  </sheetViews>
  <sheetFormatPr defaultRowHeight="14.25"/>
  <cols>
    <col min="1" max="1" width="16.42578125" customWidth="1"/>
    <col min="2" max="2" width="33.7109375" customWidth="1"/>
  </cols>
  <sheetData>
    <row r="1" spans="1:11" ht="18">
      <c r="A1" s="123" t="s">
        <v>32</v>
      </c>
      <c r="B1" s="123"/>
    </row>
    <row r="2" spans="1:11" s="1" customFormat="1" ht="30" customHeight="1">
      <c r="A2" s="4" t="s">
        <v>33</v>
      </c>
      <c r="B2" s="5" t="s">
        <v>34</v>
      </c>
      <c r="C2" s="3"/>
      <c r="D2" s="3"/>
      <c r="E2" s="3"/>
      <c r="F2" s="3"/>
      <c r="G2" s="3"/>
      <c r="H2" s="3"/>
      <c r="I2" s="3"/>
      <c r="J2" s="3"/>
      <c r="K2" s="3"/>
    </row>
    <row r="3" spans="1:11">
      <c r="A3" s="14"/>
      <c r="B3" s="15"/>
      <c r="C3" s="2"/>
      <c r="D3" s="6" t="s">
        <v>35</v>
      </c>
      <c r="E3" s="2"/>
      <c r="F3" s="2"/>
      <c r="G3" s="2"/>
      <c r="H3" s="2"/>
      <c r="I3" s="2"/>
      <c r="J3" s="2"/>
      <c r="K3" s="2"/>
    </row>
    <row r="4" spans="1:11">
      <c r="A4" s="14"/>
      <c r="B4" s="15"/>
      <c r="C4" s="2"/>
      <c r="D4" s="6" t="s">
        <v>36</v>
      </c>
      <c r="E4" s="2"/>
      <c r="F4" s="2"/>
      <c r="G4" s="2"/>
      <c r="H4" s="2"/>
      <c r="I4" s="2"/>
      <c r="J4" s="2"/>
      <c r="K4" s="2"/>
    </row>
    <row r="5" spans="1:11">
      <c r="A5" s="14"/>
      <c r="B5" s="15"/>
      <c r="C5" s="2"/>
      <c r="D5" s="6" t="s">
        <v>37</v>
      </c>
      <c r="E5" s="2"/>
      <c r="F5" s="2"/>
      <c r="G5" s="2"/>
      <c r="H5" s="2"/>
      <c r="I5" s="2"/>
      <c r="J5" s="2"/>
      <c r="K5" s="2"/>
    </row>
    <row r="6" spans="1:11">
      <c r="A6" s="14"/>
      <c r="B6" s="15"/>
      <c r="C6" s="2"/>
      <c r="D6" s="2"/>
      <c r="E6" s="2"/>
      <c r="F6" s="2"/>
      <c r="G6" s="2"/>
      <c r="H6" s="2"/>
      <c r="I6" s="2"/>
      <c r="J6" s="2"/>
      <c r="K6" s="2"/>
    </row>
    <row r="7" spans="1:11">
      <c r="A7" s="14"/>
      <c r="B7" s="16"/>
    </row>
    <row r="8" spans="1:11">
      <c r="A8" s="14"/>
      <c r="B8" s="16"/>
    </row>
    <row r="9" spans="1:11">
      <c r="A9" s="14"/>
      <c r="B9" s="16"/>
    </row>
    <row r="10" spans="1:11">
      <c r="A10" s="14"/>
      <c r="B10" s="16"/>
    </row>
    <row r="11" spans="1:11">
      <c r="A11" s="14"/>
      <c r="B11" s="16"/>
    </row>
    <row r="12" spans="1:11">
      <c r="A12" s="14"/>
      <c r="B12" s="16"/>
    </row>
    <row r="13" spans="1:11">
      <c r="A13" s="14"/>
      <c r="B13" s="16"/>
    </row>
    <row r="14" spans="1:11">
      <c r="A14" s="14"/>
      <c r="B14" s="16"/>
    </row>
    <row r="15" spans="1:11">
      <c r="A15" s="14"/>
      <c r="B15" s="16"/>
    </row>
    <row r="16" spans="1:11">
      <c r="A16" s="14"/>
      <c r="B16" s="16"/>
    </row>
    <row r="17" spans="1:2">
      <c r="A17" s="14"/>
      <c r="B17" s="16"/>
    </row>
    <row r="18" spans="1:2">
      <c r="A18" s="14"/>
      <c r="B18" s="16"/>
    </row>
    <row r="19" spans="1:2">
      <c r="A19" s="14"/>
      <c r="B19" s="16"/>
    </row>
    <row r="20" spans="1:2">
      <c r="A20" s="14"/>
      <c r="B20" s="16"/>
    </row>
    <row r="21" spans="1:2">
      <c r="A21" s="14"/>
      <c r="B21" s="16"/>
    </row>
    <row r="22" spans="1:2">
      <c r="A22" s="14"/>
      <c r="B22" s="16"/>
    </row>
    <row r="23" spans="1:2">
      <c r="A23" s="14"/>
      <c r="B23" s="16"/>
    </row>
    <row r="24" spans="1:2">
      <c r="A24" s="14"/>
      <c r="B24" s="16"/>
    </row>
    <row r="25" spans="1:2">
      <c r="A25" s="14"/>
      <c r="B25" s="16"/>
    </row>
    <row r="26" spans="1:2">
      <c r="A26" s="17"/>
      <c r="B26" s="18"/>
    </row>
  </sheetData>
  <mergeCells count="1">
    <mergeCell ref="A1:B1"/>
  </mergeCells>
  <dataValidations count="1">
    <dataValidation type="list" allowBlank="1" showInputMessage="1" showErrorMessage="1" sqref="A3:A26" xr:uid="{7F3BC2FB-259C-48C2-A7A1-119BEACEC0D7}">
      <formula1>$D$3:$D$5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9BEBE-B6F8-4CF3-8211-B0B47331AB6D}">
  <sheetPr>
    <pageSetUpPr fitToPage="1"/>
  </sheetPr>
  <dimension ref="A1:L173"/>
  <sheetViews>
    <sheetView zoomScale="60" zoomScaleNormal="60" workbookViewId="0">
      <pane ySplit="2" topLeftCell="A3" activePane="bottomLeft" state="frozen"/>
      <selection pane="bottomLeft" activeCell="C127" sqref="C127"/>
    </sheetView>
  </sheetViews>
  <sheetFormatPr defaultColWidth="10.5703125" defaultRowHeight="22.9"/>
  <cols>
    <col min="1" max="1" width="25.28515625" style="20" customWidth="1"/>
    <col min="2" max="2" width="19.140625" style="77" customWidth="1"/>
    <col min="3" max="3" width="47.140625" style="78" customWidth="1"/>
    <col min="4" max="4" width="46.28515625" style="79" customWidth="1"/>
    <col min="5" max="6" width="38.140625" style="20" customWidth="1"/>
    <col min="7" max="9" width="65.5703125" style="80" customWidth="1"/>
    <col min="10" max="11" width="23.7109375" style="81" customWidth="1"/>
    <col min="12" max="12" width="42.140625" style="81" customWidth="1"/>
    <col min="13" max="25" width="10.5703125" style="20"/>
    <col min="26" max="26" width="9.42578125" style="20" customWidth="1"/>
    <col min="27" max="16384" width="10.5703125" style="20"/>
  </cols>
  <sheetData>
    <row r="1" spans="1:12" ht="32.65" customHeight="1">
      <c r="A1" s="127" t="s">
        <v>38</v>
      </c>
      <c r="B1" s="127"/>
      <c r="C1" s="127"/>
      <c r="D1" s="127"/>
      <c r="E1" s="19"/>
      <c r="F1" s="19"/>
      <c r="G1" s="19"/>
      <c r="H1" s="19"/>
      <c r="I1" s="19"/>
      <c r="J1" s="19"/>
      <c r="K1" s="19"/>
      <c r="L1" s="19"/>
    </row>
    <row r="2" spans="1:12" s="24" customFormat="1" ht="41.25">
      <c r="A2" s="21" t="s">
        <v>39</v>
      </c>
      <c r="B2" s="22" t="s">
        <v>40</v>
      </c>
      <c r="C2" s="21" t="s">
        <v>41</v>
      </c>
      <c r="D2" s="23" t="s">
        <v>42</v>
      </c>
      <c r="E2" s="21" t="s">
        <v>43</v>
      </c>
      <c r="F2" s="21" t="s">
        <v>44</v>
      </c>
      <c r="G2" s="21" t="s">
        <v>45</v>
      </c>
      <c r="H2" s="21" t="s">
        <v>46</v>
      </c>
      <c r="I2" s="21" t="s">
        <v>47</v>
      </c>
      <c r="J2" s="21" t="s">
        <v>48</v>
      </c>
      <c r="K2" s="21" t="s">
        <v>49</v>
      </c>
      <c r="L2" s="21" t="s">
        <v>50</v>
      </c>
    </row>
    <row r="3" spans="1:12" s="31" customFormat="1" ht="103.15">
      <c r="A3" s="25" t="s">
        <v>51</v>
      </c>
      <c r="B3" s="26" t="s">
        <v>52</v>
      </c>
      <c r="C3" s="27" t="s">
        <v>53</v>
      </c>
      <c r="D3" s="28">
        <v>100000</v>
      </c>
      <c r="E3" s="29" t="s">
        <v>54</v>
      </c>
      <c r="F3" s="29" t="s">
        <v>55</v>
      </c>
      <c r="G3" s="27" t="s">
        <v>56</v>
      </c>
      <c r="H3" s="27" t="s">
        <v>57</v>
      </c>
      <c r="I3" s="27" t="s">
        <v>58</v>
      </c>
      <c r="J3" s="30">
        <v>46023</v>
      </c>
      <c r="K3" s="30">
        <v>46025</v>
      </c>
      <c r="L3" s="30">
        <v>46024</v>
      </c>
    </row>
    <row r="4" spans="1:12" s="37" customFormat="1" ht="20.65">
      <c r="A4" s="32"/>
      <c r="B4" s="33"/>
      <c r="C4" s="34"/>
      <c r="D4" s="35"/>
      <c r="E4" s="32"/>
      <c r="F4" s="32"/>
      <c r="G4" s="32"/>
      <c r="H4" s="32"/>
      <c r="I4" s="32"/>
      <c r="J4" s="36"/>
      <c r="K4" s="36"/>
      <c r="L4" s="36"/>
    </row>
    <row r="5" spans="1:12" ht="24" customHeight="1">
      <c r="A5" s="124" t="s">
        <v>59</v>
      </c>
      <c r="B5" s="38">
        <v>1</v>
      </c>
      <c r="C5" s="39"/>
      <c r="D5" s="40">
        <f>SUM(D6:D15)</f>
        <v>0</v>
      </c>
      <c r="E5" s="41"/>
      <c r="F5" s="105"/>
      <c r="G5" s="42"/>
      <c r="H5" s="42"/>
      <c r="I5" s="42"/>
      <c r="J5" s="43"/>
      <c r="K5" s="43"/>
      <c r="L5" s="44"/>
    </row>
    <row r="6" spans="1:12">
      <c r="A6" s="125"/>
      <c r="B6" s="45">
        <v>1.1000000000000001</v>
      </c>
      <c r="C6" s="46"/>
      <c r="D6" s="47">
        <v>0</v>
      </c>
      <c r="E6" s="48"/>
      <c r="F6" s="106"/>
      <c r="G6" s="49"/>
      <c r="H6" s="49"/>
      <c r="I6" s="49"/>
      <c r="J6" s="50"/>
      <c r="K6" s="50"/>
      <c r="L6" s="50"/>
    </row>
    <row r="7" spans="1:12" ht="23.25" customHeight="1">
      <c r="A7" s="125"/>
      <c r="B7" s="45">
        <v>1.2</v>
      </c>
      <c r="C7" s="46"/>
      <c r="D7" s="47">
        <v>0</v>
      </c>
      <c r="E7" s="48"/>
      <c r="F7" s="48"/>
      <c r="G7" s="46"/>
      <c r="H7" s="46"/>
      <c r="I7" s="46"/>
      <c r="J7" s="51"/>
      <c r="K7" s="51"/>
      <c r="L7" s="51"/>
    </row>
    <row r="8" spans="1:12" ht="23.25" customHeight="1">
      <c r="A8" s="125"/>
      <c r="B8" s="45">
        <v>1.3</v>
      </c>
      <c r="C8" s="46"/>
      <c r="D8" s="47">
        <v>0</v>
      </c>
      <c r="E8" s="48"/>
      <c r="F8" s="48"/>
      <c r="G8" s="46"/>
      <c r="H8" s="46"/>
      <c r="I8" s="46"/>
      <c r="J8" s="51"/>
      <c r="K8" s="51"/>
      <c r="L8" s="51"/>
    </row>
    <row r="9" spans="1:12" ht="23.25" customHeight="1">
      <c r="A9" s="125"/>
      <c r="B9" s="45">
        <v>1.4</v>
      </c>
      <c r="C9" s="46"/>
      <c r="D9" s="47">
        <v>0</v>
      </c>
      <c r="E9" s="48"/>
      <c r="F9" s="48"/>
      <c r="G9" s="46"/>
      <c r="H9" s="46"/>
      <c r="I9" s="46"/>
      <c r="J9" s="51"/>
      <c r="K9" s="51"/>
      <c r="L9" s="51"/>
    </row>
    <row r="10" spans="1:12" ht="23.25" customHeight="1">
      <c r="A10" s="125"/>
      <c r="B10" s="45">
        <v>1.5</v>
      </c>
      <c r="C10" s="46"/>
      <c r="D10" s="47">
        <v>0</v>
      </c>
      <c r="E10" s="48"/>
      <c r="F10" s="48"/>
      <c r="G10" s="46"/>
      <c r="H10" s="46"/>
      <c r="I10" s="46"/>
      <c r="J10" s="51"/>
      <c r="K10" s="51"/>
      <c r="L10" s="51"/>
    </row>
    <row r="11" spans="1:12" ht="23.25" customHeight="1">
      <c r="A11" s="125"/>
      <c r="B11" s="45">
        <v>1.6</v>
      </c>
      <c r="C11" s="46"/>
      <c r="D11" s="47">
        <v>0</v>
      </c>
      <c r="E11" s="48"/>
      <c r="F11" s="48"/>
      <c r="G11" s="46"/>
      <c r="H11" s="46"/>
      <c r="I11" s="46"/>
      <c r="J11" s="51"/>
      <c r="K11" s="51"/>
      <c r="L11" s="51"/>
    </row>
    <row r="12" spans="1:12" ht="23.25" customHeight="1">
      <c r="A12" s="125"/>
      <c r="B12" s="45">
        <v>1.7</v>
      </c>
      <c r="C12" s="46"/>
      <c r="D12" s="47">
        <v>0</v>
      </c>
      <c r="E12" s="48"/>
      <c r="F12" s="48"/>
      <c r="G12" s="46"/>
      <c r="H12" s="46"/>
      <c r="I12" s="46"/>
      <c r="J12" s="51"/>
      <c r="K12" s="51"/>
      <c r="L12" s="51"/>
    </row>
    <row r="13" spans="1:12" ht="23.25" customHeight="1">
      <c r="A13" s="125"/>
      <c r="B13" s="45">
        <v>1.8</v>
      </c>
      <c r="C13" s="46"/>
      <c r="D13" s="47">
        <v>0</v>
      </c>
      <c r="E13" s="48"/>
      <c r="F13" s="48"/>
      <c r="G13" s="46"/>
      <c r="H13" s="46"/>
      <c r="I13" s="46"/>
      <c r="J13" s="51"/>
      <c r="K13" s="51"/>
      <c r="L13" s="51"/>
    </row>
    <row r="14" spans="1:12" ht="23.25" customHeight="1">
      <c r="A14" s="125"/>
      <c r="B14" s="45">
        <v>1.9</v>
      </c>
      <c r="C14" s="46"/>
      <c r="D14" s="47">
        <v>0</v>
      </c>
      <c r="E14" s="48"/>
      <c r="F14" s="48"/>
      <c r="G14" s="46"/>
      <c r="H14" s="46"/>
      <c r="I14" s="46"/>
      <c r="J14" s="51"/>
      <c r="K14" s="51"/>
      <c r="L14" s="51"/>
    </row>
    <row r="15" spans="1:12" ht="23.25" customHeight="1">
      <c r="A15" s="125"/>
      <c r="B15" s="52">
        <v>1.1000000000000001</v>
      </c>
      <c r="C15" s="46"/>
      <c r="D15" s="47">
        <v>0</v>
      </c>
      <c r="E15" s="48"/>
      <c r="F15" s="107"/>
      <c r="G15" s="53"/>
      <c r="H15" s="53"/>
      <c r="I15" s="53"/>
      <c r="J15" s="54"/>
      <c r="K15" s="54"/>
      <c r="L15" s="54"/>
    </row>
    <row r="16" spans="1:12" ht="24" customHeight="1">
      <c r="A16" s="125"/>
      <c r="B16" s="38">
        <v>2</v>
      </c>
      <c r="C16" s="39"/>
      <c r="D16" s="40">
        <f>SUM(D17:D26)</f>
        <v>0</v>
      </c>
      <c r="E16" s="41"/>
      <c r="F16" s="105"/>
      <c r="G16" s="42"/>
      <c r="H16" s="42"/>
      <c r="I16" s="42"/>
      <c r="J16" s="43"/>
      <c r="K16" s="43"/>
      <c r="L16" s="44"/>
    </row>
    <row r="17" spans="1:12" ht="23.25" customHeight="1">
      <c r="A17" s="125"/>
      <c r="B17" s="45">
        <v>2.1</v>
      </c>
      <c r="C17" s="46"/>
      <c r="D17" s="47">
        <v>0</v>
      </c>
      <c r="E17" s="48"/>
      <c r="F17" s="106"/>
      <c r="G17" s="49"/>
      <c r="H17" s="49"/>
      <c r="I17" s="49"/>
      <c r="J17" s="50"/>
      <c r="K17" s="50"/>
      <c r="L17" s="50"/>
    </row>
    <row r="18" spans="1:12" ht="23.25" customHeight="1">
      <c r="A18" s="125"/>
      <c r="B18" s="45">
        <v>2.2000000000000002</v>
      </c>
      <c r="C18" s="46"/>
      <c r="D18" s="47">
        <v>0</v>
      </c>
      <c r="E18" s="48"/>
      <c r="F18" s="48"/>
      <c r="G18" s="46"/>
      <c r="H18" s="46"/>
      <c r="I18" s="46"/>
      <c r="J18" s="51"/>
      <c r="K18" s="51"/>
      <c r="L18" s="51"/>
    </row>
    <row r="19" spans="1:12" ht="23.25" customHeight="1">
      <c r="A19" s="125"/>
      <c r="B19" s="45">
        <v>2.2999999999999998</v>
      </c>
      <c r="C19" s="46"/>
      <c r="D19" s="47">
        <v>0</v>
      </c>
      <c r="E19" s="48"/>
      <c r="F19" s="48"/>
      <c r="G19" s="46"/>
      <c r="H19" s="46"/>
      <c r="I19" s="46"/>
      <c r="J19" s="51"/>
      <c r="K19" s="51"/>
      <c r="L19" s="51"/>
    </row>
    <row r="20" spans="1:12" ht="23.25" customHeight="1">
      <c r="A20" s="125"/>
      <c r="B20" s="45">
        <v>2.4</v>
      </c>
      <c r="C20" s="46"/>
      <c r="D20" s="47">
        <v>0</v>
      </c>
      <c r="E20" s="48"/>
      <c r="F20" s="48"/>
      <c r="G20" s="46"/>
      <c r="H20" s="46"/>
      <c r="I20" s="46"/>
      <c r="J20" s="51"/>
      <c r="K20" s="51"/>
      <c r="L20" s="51"/>
    </row>
    <row r="21" spans="1:12" ht="23.25" customHeight="1">
      <c r="A21" s="125"/>
      <c r="B21" s="45">
        <v>2.5</v>
      </c>
      <c r="C21" s="46"/>
      <c r="D21" s="47">
        <v>0</v>
      </c>
      <c r="E21" s="48"/>
      <c r="F21" s="48"/>
      <c r="G21" s="46"/>
      <c r="H21" s="46"/>
      <c r="I21" s="46"/>
      <c r="J21" s="51"/>
      <c r="K21" s="51"/>
      <c r="L21" s="51"/>
    </row>
    <row r="22" spans="1:12" ht="23.25" customHeight="1">
      <c r="A22" s="125"/>
      <c r="B22" s="45">
        <v>2.6</v>
      </c>
      <c r="C22" s="46"/>
      <c r="D22" s="47">
        <v>0</v>
      </c>
      <c r="E22" s="48"/>
      <c r="F22" s="48"/>
      <c r="G22" s="46"/>
      <c r="H22" s="46"/>
      <c r="I22" s="46"/>
      <c r="J22" s="51"/>
      <c r="K22" s="51"/>
      <c r="L22" s="51"/>
    </row>
    <row r="23" spans="1:12" ht="23.25" customHeight="1">
      <c r="A23" s="125"/>
      <c r="B23" s="45">
        <v>2.7</v>
      </c>
      <c r="C23" s="46"/>
      <c r="D23" s="47">
        <v>0</v>
      </c>
      <c r="E23" s="48"/>
      <c r="F23" s="48"/>
      <c r="G23" s="46"/>
      <c r="H23" s="46"/>
      <c r="I23" s="46"/>
      <c r="J23" s="51"/>
      <c r="K23" s="51"/>
      <c r="L23" s="51"/>
    </row>
    <row r="24" spans="1:12" ht="23.25" customHeight="1">
      <c r="A24" s="125"/>
      <c r="B24" s="45">
        <v>2.8</v>
      </c>
      <c r="C24" s="46"/>
      <c r="D24" s="47">
        <v>0</v>
      </c>
      <c r="E24" s="48"/>
      <c r="F24" s="48"/>
      <c r="G24" s="46"/>
      <c r="H24" s="46"/>
      <c r="I24" s="46"/>
      <c r="J24" s="51"/>
      <c r="K24" s="51"/>
      <c r="L24" s="51"/>
    </row>
    <row r="25" spans="1:12" ht="23.25" customHeight="1">
      <c r="A25" s="125"/>
      <c r="B25" s="45">
        <v>2.9</v>
      </c>
      <c r="C25" s="46"/>
      <c r="D25" s="47">
        <v>0</v>
      </c>
      <c r="E25" s="48"/>
      <c r="F25" s="48"/>
      <c r="G25" s="46"/>
      <c r="H25" s="46"/>
      <c r="I25" s="46"/>
      <c r="J25" s="51"/>
      <c r="K25" s="51"/>
      <c r="L25" s="51"/>
    </row>
    <row r="26" spans="1:12" ht="23.25" customHeight="1">
      <c r="A26" s="125"/>
      <c r="B26" s="52">
        <v>2.1</v>
      </c>
      <c r="C26" s="46"/>
      <c r="D26" s="47">
        <v>0</v>
      </c>
      <c r="E26" s="48"/>
      <c r="F26" s="48"/>
      <c r="G26" s="46"/>
      <c r="H26" s="46"/>
      <c r="I26" s="46"/>
      <c r="J26" s="51"/>
      <c r="K26" s="51"/>
      <c r="L26" s="51"/>
    </row>
    <row r="27" spans="1:12" ht="23.25" customHeight="1">
      <c r="A27" s="125"/>
      <c r="B27" s="38">
        <v>3</v>
      </c>
      <c r="C27" s="39"/>
      <c r="D27" s="55">
        <f>SUM(D28:D37)</f>
        <v>0</v>
      </c>
      <c r="E27" s="41"/>
      <c r="F27" s="105"/>
      <c r="G27" s="42"/>
      <c r="H27" s="42"/>
      <c r="I27" s="42"/>
      <c r="J27" s="43"/>
      <c r="K27" s="43"/>
      <c r="L27" s="44"/>
    </row>
    <row r="28" spans="1:12" ht="23.25" customHeight="1">
      <c r="A28" s="125"/>
      <c r="B28" s="45">
        <v>3.1</v>
      </c>
      <c r="C28" s="46"/>
      <c r="D28" s="47">
        <v>0</v>
      </c>
      <c r="E28" s="48"/>
      <c r="F28" s="48"/>
      <c r="G28" s="46"/>
      <c r="H28" s="46"/>
      <c r="I28" s="46"/>
      <c r="J28" s="51"/>
      <c r="K28" s="51"/>
      <c r="L28" s="51"/>
    </row>
    <row r="29" spans="1:12" ht="23.25" customHeight="1">
      <c r="A29" s="125"/>
      <c r="B29" s="45">
        <v>3.2</v>
      </c>
      <c r="C29" s="46"/>
      <c r="D29" s="47">
        <v>0</v>
      </c>
      <c r="E29" s="48"/>
      <c r="F29" s="48"/>
      <c r="G29" s="46"/>
      <c r="H29" s="46"/>
      <c r="I29" s="46"/>
      <c r="J29" s="51"/>
      <c r="K29" s="51"/>
      <c r="L29" s="51"/>
    </row>
    <row r="30" spans="1:12" ht="23.25" customHeight="1">
      <c r="A30" s="125"/>
      <c r="B30" s="45">
        <v>3.3</v>
      </c>
      <c r="C30" s="46"/>
      <c r="D30" s="47">
        <v>0</v>
      </c>
      <c r="E30" s="48"/>
      <c r="F30" s="48"/>
      <c r="G30" s="46"/>
      <c r="H30" s="46"/>
      <c r="I30" s="46"/>
      <c r="J30" s="51"/>
      <c r="K30" s="51"/>
      <c r="L30" s="51"/>
    </row>
    <row r="31" spans="1:12" ht="23.25" customHeight="1">
      <c r="A31" s="125"/>
      <c r="B31" s="45">
        <v>3.4</v>
      </c>
      <c r="C31" s="46"/>
      <c r="D31" s="47">
        <v>0</v>
      </c>
      <c r="E31" s="48"/>
      <c r="F31" s="48"/>
      <c r="G31" s="46"/>
      <c r="H31" s="46"/>
      <c r="I31" s="46"/>
      <c r="J31" s="51"/>
      <c r="K31" s="51"/>
      <c r="L31" s="51"/>
    </row>
    <row r="32" spans="1:12" ht="23.25" customHeight="1">
      <c r="A32" s="125"/>
      <c r="B32" s="45">
        <v>3.5</v>
      </c>
      <c r="C32" s="46"/>
      <c r="D32" s="47">
        <v>0</v>
      </c>
      <c r="E32" s="48"/>
      <c r="F32" s="48"/>
      <c r="G32" s="46"/>
      <c r="H32" s="46"/>
      <c r="I32" s="46"/>
      <c r="J32" s="51"/>
      <c r="K32" s="51"/>
      <c r="L32" s="51"/>
    </row>
    <row r="33" spans="1:12" ht="23.25" customHeight="1">
      <c r="A33" s="125"/>
      <c r="B33" s="45">
        <v>3.6</v>
      </c>
      <c r="C33" s="46"/>
      <c r="D33" s="47">
        <v>0</v>
      </c>
      <c r="E33" s="48"/>
      <c r="F33" s="48"/>
      <c r="G33" s="46"/>
      <c r="H33" s="46"/>
      <c r="I33" s="46"/>
      <c r="J33" s="51"/>
      <c r="K33" s="51"/>
      <c r="L33" s="51"/>
    </row>
    <row r="34" spans="1:12" ht="23.25" customHeight="1">
      <c r="A34" s="125"/>
      <c r="B34" s="45">
        <v>3.7</v>
      </c>
      <c r="C34" s="46"/>
      <c r="D34" s="47">
        <v>0</v>
      </c>
      <c r="E34" s="48"/>
      <c r="F34" s="48"/>
      <c r="G34" s="46"/>
      <c r="H34" s="46"/>
      <c r="I34" s="46"/>
      <c r="J34" s="51"/>
      <c r="K34" s="51"/>
      <c r="L34" s="51"/>
    </row>
    <row r="35" spans="1:12" ht="23.25" customHeight="1">
      <c r="A35" s="125"/>
      <c r="B35" s="45">
        <v>3.8</v>
      </c>
      <c r="C35" s="46"/>
      <c r="D35" s="47">
        <v>0</v>
      </c>
      <c r="E35" s="48"/>
      <c r="F35" s="48"/>
      <c r="G35" s="46"/>
      <c r="H35" s="46"/>
      <c r="I35" s="46"/>
      <c r="J35" s="51"/>
      <c r="K35" s="51"/>
      <c r="L35" s="51"/>
    </row>
    <row r="36" spans="1:12" ht="23.25" customHeight="1">
      <c r="A36" s="125"/>
      <c r="B36" s="45">
        <v>3.9</v>
      </c>
      <c r="C36" s="46"/>
      <c r="D36" s="47">
        <v>0</v>
      </c>
      <c r="E36" s="48"/>
      <c r="F36" s="48"/>
      <c r="G36" s="46"/>
      <c r="H36" s="46"/>
      <c r="I36" s="46"/>
      <c r="J36" s="51"/>
      <c r="K36" s="51"/>
      <c r="L36" s="51"/>
    </row>
    <row r="37" spans="1:12" ht="23.25" customHeight="1">
      <c r="A37" s="125"/>
      <c r="B37" s="52">
        <v>3.1</v>
      </c>
      <c r="C37" s="46"/>
      <c r="D37" s="47">
        <v>0</v>
      </c>
      <c r="E37" s="48"/>
      <c r="F37" s="48"/>
      <c r="G37" s="46"/>
      <c r="H37" s="46"/>
      <c r="I37" s="46"/>
      <c r="J37" s="51"/>
      <c r="K37" s="51"/>
      <c r="L37" s="51"/>
    </row>
    <row r="38" spans="1:12" ht="23.25" customHeight="1">
      <c r="A38" s="125"/>
      <c r="B38" s="38">
        <v>4</v>
      </c>
      <c r="C38" s="39"/>
      <c r="D38" s="55">
        <f>SUM(D39:D48)</f>
        <v>0</v>
      </c>
      <c r="E38" s="41"/>
      <c r="F38" s="105"/>
      <c r="G38" s="42"/>
      <c r="H38" s="42"/>
      <c r="I38" s="42"/>
      <c r="J38" s="43"/>
      <c r="K38" s="43"/>
      <c r="L38" s="44"/>
    </row>
    <row r="39" spans="1:12" ht="23.25" customHeight="1">
      <c r="A39" s="125"/>
      <c r="B39" s="45">
        <v>4.0999999999999996</v>
      </c>
      <c r="C39" s="46"/>
      <c r="D39" s="47">
        <v>0</v>
      </c>
      <c r="E39" s="48"/>
      <c r="F39" s="48"/>
      <c r="G39" s="46"/>
      <c r="H39" s="46"/>
      <c r="I39" s="46"/>
      <c r="J39" s="51"/>
      <c r="K39" s="51"/>
      <c r="L39" s="51"/>
    </row>
    <row r="40" spans="1:12" ht="23.25" customHeight="1">
      <c r="A40" s="125"/>
      <c r="B40" s="45">
        <v>4.2</v>
      </c>
      <c r="C40" s="46"/>
      <c r="D40" s="47">
        <v>0</v>
      </c>
      <c r="E40" s="48"/>
      <c r="F40" s="48"/>
      <c r="G40" s="46"/>
      <c r="H40" s="46"/>
      <c r="I40" s="46"/>
      <c r="J40" s="51"/>
      <c r="K40" s="51"/>
      <c r="L40" s="51"/>
    </row>
    <row r="41" spans="1:12" ht="23.25" customHeight="1">
      <c r="A41" s="125"/>
      <c r="B41" s="45">
        <v>4.3</v>
      </c>
      <c r="C41" s="46"/>
      <c r="D41" s="47">
        <v>0</v>
      </c>
      <c r="E41" s="48"/>
      <c r="F41" s="48"/>
      <c r="G41" s="46"/>
      <c r="H41" s="46"/>
      <c r="I41" s="46"/>
      <c r="J41" s="51"/>
      <c r="K41" s="51"/>
      <c r="L41" s="51"/>
    </row>
    <row r="42" spans="1:12" ht="23.25" customHeight="1">
      <c r="A42" s="125"/>
      <c r="B42" s="45">
        <v>4.4000000000000004</v>
      </c>
      <c r="C42" s="46"/>
      <c r="D42" s="47">
        <v>0</v>
      </c>
      <c r="E42" s="48"/>
      <c r="F42" s="48"/>
      <c r="G42" s="46"/>
      <c r="H42" s="46"/>
      <c r="I42" s="46"/>
      <c r="J42" s="51"/>
      <c r="K42" s="51"/>
      <c r="L42" s="51"/>
    </row>
    <row r="43" spans="1:12" ht="23.25" customHeight="1">
      <c r="A43" s="125"/>
      <c r="B43" s="45">
        <v>4.5</v>
      </c>
      <c r="C43" s="46"/>
      <c r="D43" s="47">
        <v>0</v>
      </c>
      <c r="E43" s="48"/>
      <c r="F43" s="48"/>
      <c r="G43" s="46"/>
      <c r="H43" s="46"/>
      <c r="I43" s="46"/>
      <c r="J43" s="51"/>
      <c r="K43" s="51"/>
      <c r="L43" s="51"/>
    </row>
    <row r="44" spans="1:12" ht="23.25" customHeight="1">
      <c r="A44" s="125"/>
      <c r="B44" s="45">
        <v>4.5999999999999996</v>
      </c>
      <c r="C44" s="46"/>
      <c r="D44" s="47">
        <v>0</v>
      </c>
      <c r="E44" s="48"/>
      <c r="F44" s="48"/>
      <c r="G44" s="46"/>
      <c r="H44" s="46"/>
      <c r="I44" s="46"/>
      <c r="J44" s="51"/>
      <c r="K44" s="51"/>
      <c r="L44" s="51"/>
    </row>
    <row r="45" spans="1:12" ht="23.25" customHeight="1">
      <c r="A45" s="125"/>
      <c r="B45" s="45">
        <v>4.7</v>
      </c>
      <c r="C45" s="46"/>
      <c r="D45" s="47">
        <v>0</v>
      </c>
      <c r="E45" s="48"/>
      <c r="F45" s="48"/>
      <c r="G45" s="46"/>
      <c r="H45" s="46"/>
      <c r="I45" s="46"/>
      <c r="J45" s="51"/>
      <c r="K45" s="51"/>
      <c r="L45" s="51"/>
    </row>
    <row r="46" spans="1:12" ht="23.25" customHeight="1">
      <c r="A46" s="125"/>
      <c r="B46" s="45">
        <v>4.8</v>
      </c>
      <c r="C46" s="46"/>
      <c r="D46" s="47">
        <v>0</v>
      </c>
      <c r="E46" s="48"/>
      <c r="F46" s="48"/>
      <c r="G46" s="46"/>
      <c r="H46" s="46"/>
      <c r="I46" s="46"/>
      <c r="J46" s="51"/>
      <c r="K46" s="51"/>
      <c r="L46" s="51"/>
    </row>
    <row r="47" spans="1:12" ht="23.25" customHeight="1">
      <c r="A47" s="125"/>
      <c r="B47" s="45">
        <v>4.9000000000000004</v>
      </c>
      <c r="C47" s="46"/>
      <c r="D47" s="47">
        <v>0</v>
      </c>
      <c r="E47" s="48"/>
      <c r="F47" s="48"/>
      <c r="G47" s="46"/>
      <c r="H47" s="46"/>
      <c r="I47" s="46"/>
      <c r="J47" s="51"/>
      <c r="K47" s="51"/>
      <c r="L47" s="51"/>
    </row>
    <row r="48" spans="1:12" ht="23.25" customHeight="1">
      <c r="A48" s="125"/>
      <c r="B48" s="52">
        <v>4.0999999999999996</v>
      </c>
      <c r="C48" s="46"/>
      <c r="D48" s="47">
        <v>0</v>
      </c>
      <c r="E48" s="48"/>
      <c r="F48" s="48"/>
      <c r="G48" s="46"/>
      <c r="H48" s="46"/>
      <c r="I48" s="46"/>
      <c r="J48" s="51"/>
      <c r="K48" s="51"/>
      <c r="L48" s="51"/>
    </row>
    <row r="49" spans="1:12" ht="23.25" customHeight="1">
      <c r="A49" s="125"/>
      <c r="B49" s="38">
        <v>5</v>
      </c>
      <c r="C49" s="39"/>
      <c r="D49" s="55">
        <f>SUM(D50:D59)</f>
        <v>0</v>
      </c>
      <c r="E49" s="41"/>
      <c r="F49" s="105"/>
      <c r="G49" s="42"/>
      <c r="H49" s="42"/>
      <c r="I49" s="42"/>
      <c r="J49" s="43"/>
      <c r="K49" s="43"/>
      <c r="L49" s="44"/>
    </row>
    <row r="50" spans="1:12" ht="23.25" customHeight="1">
      <c r="A50" s="125"/>
      <c r="B50" s="45">
        <v>5.0999999999999996</v>
      </c>
      <c r="C50" s="46"/>
      <c r="D50" s="47">
        <v>0</v>
      </c>
      <c r="E50" s="48"/>
      <c r="F50" s="48"/>
      <c r="G50" s="46"/>
      <c r="H50" s="46"/>
      <c r="I50" s="46"/>
      <c r="J50" s="51"/>
      <c r="K50" s="51"/>
      <c r="L50" s="51"/>
    </row>
    <row r="51" spans="1:12" ht="23.25" customHeight="1">
      <c r="A51" s="125"/>
      <c r="B51" s="45">
        <v>5.2</v>
      </c>
      <c r="C51" s="46"/>
      <c r="D51" s="47">
        <v>0</v>
      </c>
      <c r="E51" s="48"/>
      <c r="F51" s="48"/>
      <c r="G51" s="46"/>
      <c r="H51" s="46"/>
      <c r="I51" s="46"/>
      <c r="J51" s="51"/>
      <c r="K51" s="51"/>
      <c r="L51" s="51"/>
    </row>
    <row r="52" spans="1:12" ht="23.25" customHeight="1">
      <c r="A52" s="125"/>
      <c r="B52" s="45">
        <v>5.3</v>
      </c>
      <c r="C52" s="46"/>
      <c r="D52" s="47">
        <v>0</v>
      </c>
      <c r="E52" s="48"/>
      <c r="F52" s="48"/>
      <c r="G52" s="46"/>
      <c r="H52" s="46"/>
      <c r="I52" s="46"/>
      <c r="J52" s="51"/>
      <c r="K52" s="51"/>
      <c r="L52" s="51"/>
    </row>
    <row r="53" spans="1:12" ht="23.25" customHeight="1">
      <c r="A53" s="125"/>
      <c r="B53" s="45">
        <v>5.4</v>
      </c>
      <c r="C53" s="46"/>
      <c r="D53" s="47">
        <v>0</v>
      </c>
      <c r="E53" s="48"/>
      <c r="F53" s="48"/>
      <c r="G53" s="46"/>
      <c r="H53" s="46"/>
      <c r="I53" s="46"/>
      <c r="J53" s="51"/>
      <c r="K53" s="51"/>
      <c r="L53" s="51"/>
    </row>
    <row r="54" spans="1:12" ht="23.25" customHeight="1">
      <c r="A54" s="125"/>
      <c r="B54" s="45">
        <v>5.5</v>
      </c>
      <c r="C54" s="46"/>
      <c r="D54" s="47">
        <v>0</v>
      </c>
      <c r="E54" s="48"/>
      <c r="F54" s="48"/>
      <c r="G54" s="46"/>
      <c r="H54" s="46"/>
      <c r="I54" s="46"/>
      <c r="J54" s="51"/>
      <c r="K54" s="51"/>
      <c r="L54" s="51"/>
    </row>
    <row r="55" spans="1:12" ht="23.25" customHeight="1">
      <c r="A55" s="125"/>
      <c r="B55" s="45">
        <v>5.6</v>
      </c>
      <c r="C55" s="46"/>
      <c r="D55" s="47">
        <v>0</v>
      </c>
      <c r="E55" s="48"/>
      <c r="F55" s="48"/>
      <c r="G55" s="46"/>
      <c r="H55" s="46"/>
      <c r="I55" s="46"/>
      <c r="J55" s="51"/>
      <c r="K55" s="51"/>
      <c r="L55" s="51"/>
    </row>
    <row r="56" spans="1:12" ht="23.25" customHeight="1">
      <c r="A56" s="125"/>
      <c r="B56" s="45">
        <v>5.7</v>
      </c>
      <c r="C56" s="46"/>
      <c r="D56" s="47">
        <v>0</v>
      </c>
      <c r="E56" s="48"/>
      <c r="F56" s="48"/>
      <c r="G56" s="46"/>
      <c r="H56" s="46"/>
      <c r="I56" s="46"/>
      <c r="J56" s="51"/>
      <c r="K56" s="51"/>
      <c r="L56" s="51"/>
    </row>
    <row r="57" spans="1:12" ht="23.25" customHeight="1">
      <c r="A57" s="125"/>
      <c r="B57" s="45">
        <v>5.8</v>
      </c>
      <c r="C57" s="46"/>
      <c r="D57" s="47">
        <v>0</v>
      </c>
      <c r="E57" s="48"/>
      <c r="F57" s="48"/>
      <c r="G57" s="46"/>
      <c r="H57" s="46"/>
      <c r="I57" s="46"/>
      <c r="J57" s="51"/>
      <c r="K57" s="51"/>
      <c r="L57" s="51"/>
    </row>
    <row r="58" spans="1:12" ht="23.25" customHeight="1">
      <c r="A58" s="125"/>
      <c r="B58" s="45">
        <v>5.9</v>
      </c>
      <c r="C58" s="46"/>
      <c r="D58" s="47">
        <v>0</v>
      </c>
      <c r="E58" s="48"/>
      <c r="F58" s="48"/>
      <c r="G58" s="46"/>
      <c r="H58" s="46"/>
      <c r="I58" s="46"/>
      <c r="J58" s="51"/>
      <c r="K58" s="51"/>
      <c r="L58" s="51"/>
    </row>
    <row r="59" spans="1:12" ht="23.25" customHeight="1">
      <c r="A59" s="126"/>
      <c r="B59" s="52">
        <v>5.0999999999999996</v>
      </c>
      <c r="C59" s="46"/>
      <c r="D59" s="47">
        <v>0</v>
      </c>
      <c r="E59" s="48"/>
      <c r="F59" s="48"/>
      <c r="G59" s="46"/>
      <c r="H59" s="46"/>
      <c r="I59" s="46"/>
      <c r="J59" s="51"/>
      <c r="K59" s="51"/>
      <c r="L59" s="51"/>
    </row>
    <row r="60" spans="1:12" ht="32.1" customHeight="1">
      <c r="A60" s="130" t="s">
        <v>60</v>
      </c>
      <c r="B60" s="131"/>
      <c r="C60" s="132"/>
      <c r="D60" s="56">
        <f>SUM(D5+D16+D27+D38+D49)</f>
        <v>0</v>
      </c>
      <c r="E60" s="57"/>
      <c r="F60" s="57"/>
      <c r="G60" s="133"/>
      <c r="H60" s="134"/>
      <c r="I60" s="134"/>
      <c r="J60" s="134"/>
      <c r="K60" s="134"/>
      <c r="L60" s="134"/>
    </row>
    <row r="61" spans="1:12" ht="24" customHeight="1">
      <c r="A61" s="135" t="s">
        <v>61</v>
      </c>
      <c r="B61" s="58">
        <v>1</v>
      </c>
      <c r="C61" s="59"/>
      <c r="D61" s="60">
        <f>SUM(D62:D71)</f>
        <v>0</v>
      </c>
      <c r="E61" s="61"/>
      <c r="F61" s="108"/>
      <c r="G61" s="62"/>
      <c r="H61" s="62"/>
      <c r="I61" s="62"/>
      <c r="J61" s="63"/>
      <c r="K61" s="63"/>
      <c r="L61" s="64"/>
    </row>
    <row r="62" spans="1:12" ht="23.25" customHeight="1">
      <c r="A62" s="136"/>
      <c r="B62" s="45">
        <v>1.1000000000000001</v>
      </c>
      <c r="C62" s="46"/>
      <c r="D62" s="47">
        <v>0</v>
      </c>
      <c r="E62" s="48"/>
      <c r="F62" s="48"/>
      <c r="G62" s="46"/>
      <c r="H62" s="46"/>
      <c r="I62" s="46"/>
      <c r="J62" s="51"/>
      <c r="K62" s="51"/>
      <c r="L62" s="51"/>
    </row>
    <row r="63" spans="1:12" ht="23.25" customHeight="1">
      <c r="A63" s="136"/>
      <c r="B63" s="45">
        <v>1.2</v>
      </c>
      <c r="C63" s="46"/>
      <c r="D63" s="47">
        <v>0</v>
      </c>
      <c r="E63" s="48"/>
      <c r="F63" s="48"/>
      <c r="G63" s="46"/>
      <c r="H63" s="46"/>
      <c r="I63" s="46"/>
      <c r="J63" s="51"/>
      <c r="K63" s="51"/>
      <c r="L63" s="51"/>
    </row>
    <row r="64" spans="1:12" ht="23.25" customHeight="1">
      <c r="A64" s="136"/>
      <c r="B64" s="45">
        <v>1.3</v>
      </c>
      <c r="C64" s="46"/>
      <c r="D64" s="47">
        <v>0</v>
      </c>
      <c r="E64" s="48"/>
      <c r="F64" s="48"/>
      <c r="G64" s="46"/>
      <c r="H64" s="46"/>
      <c r="I64" s="46"/>
      <c r="J64" s="51"/>
      <c r="K64" s="51"/>
      <c r="L64" s="51"/>
    </row>
    <row r="65" spans="1:12" ht="23.25" customHeight="1">
      <c r="A65" s="136"/>
      <c r="B65" s="45">
        <v>1.4</v>
      </c>
      <c r="C65" s="46"/>
      <c r="D65" s="47">
        <v>0</v>
      </c>
      <c r="E65" s="48"/>
      <c r="F65" s="48"/>
      <c r="G65" s="46"/>
      <c r="H65" s="46"/>
      <c r="I65" s="46"/>
      <c r="J65" s="51"/>
      <c r="K65" s="51"/>
      <c r="L65" s="51"/>
    </row>
    <row r="66" spans="1:12" ht="23.25" customHeight="1">
      <c r="A66" s="136"/>
      <c r="B66" s="45">
        <v>1.5</v>
      </c>
      <c r="C66" s="46"/>
      <c r="D66" s="47">
        <v>0</v>
      </c>
      <c r="E66" s="48"/>
      <c r="F66" s="48"/>
      <c r="G66" s="46"/>
      <c r="H66" s="46"/>
      <c r="I66" s="46"/>
      <c r="J66" s="51"/>
      <c r="K66" s="51"/>
      <c r="L66" s="51"/>
    </row>
    <row r="67" spans="1:12" ht="23.25" customHeight="1">
      <c r="A67" s="136"/>
      <c r="B67" s="45">
        <v>1.6</v>
      </c>
      <c r="C67" s="46"/>
      <c r="D67" s="47">
        <v>0</v>
      </c>
      <c r="E67" s="48"/>
      <c r="F67" s="48"/>
      <c r="G67" s="46"/>
      <c r="H67" s="46"/>
      <c r="I67" s="46"/>
      <c r="J67" s="51"/>
      <c r="K67" s="51"/>
      <c r="L67" s="51"/>
    </row>
    <row r="68" spans="1:12" ht="23.25" customHeight="1">
      <c r="A68" s="136"/>
      <c r="B68" s="45">
        <v>1.7</v>
      </c>
      <c r="C68" s="46"/>
      <c r="D68" s="47">
        <v>0</v>
      </c>
      <c r="E68" s="48"/>
      <c r="F68" s="48"/>
      <c r="G68" s="46"/>
      <c r="H68" s="46"/>
      <c r="I68" s="46"/>
      <c r="J68" s="51"/>
      <c r="K68" s="51"/>
      <c r="L68" s="51"/>
    </row>
    <row r="69" spans="1:12" ht="23.25" customHeight="1">
      <c r="A69" s="136"/>
      <c r="B69" s="45">
        <v>1.8</v>
      </c>
      <c r="C69" s="46"/>
      <c r="D69" s="47">
        <v>0</v>
      </c>
      <c r="E69" s="48"/>
      <c r="F69" s="48"/>
      <c r="G69" s="46"/>
      <c r="H69" s="46"/>
      <c r="I69" s="46"/>
      <c r="J69" s="51"/>
      <c r="K69" s="51"/>
      <c r="L69" s="51"/>
    </row>
    <row r="70" spans="1:12" ht="23.25" customHeight="1">
      <c r="A70" s="136"/>
      <c r="B70" s="45">
        <v>1.9</v>
      </c>
      <c r="C70" s="46"/>
      <c r="D70" s="47">
        <v>0</v>
      </c>
      <c r="E70" s="48"/>
      <c r="F70" s="48"/>
      <c r="G70" s="46"/>
      <c r="H70" s="46"/>
      <c r="I70" s="46"/>
      <c r="J70" s="51"/>
      <c r="K70" s="51"/>
      <c r="L70" s="51"/>
    </row>
    <row r="71" spans="1:12" ht="23.25" customHeight="1">
      <c r="A71" s="136"/>
      <c r="B71" s="52">
        <v>1.1000000000000001</v>
      </c>
      <c r="C71" s="46"/>
      <c r="D71" s="47">
        <v>0</v>
      </c>
      <c r="E71" s="48"/>
      <c r="F71" s="48"/>
      <c r="G71" s="46"/>
      <c r="H71" s="46"/>
      <c r="I71" s="46"/>
      <c r="J71" s="51"/>
      <c r="K71" s="51"/>
      <c r="L71" s="51"/>
    </row>
    <row r="72" spans="1:12" ht="24" customHeight="1">
      <c r="A72" s="136"/>
      <c r="B72" s="58">
        <v>2</v>
      </c>
      <c r="C72" s="59"/>
      <c r="D72" s="60">
        <f>SUM(D73:D82)</f>
        <v>0</v>
      </c>
      <c r="E72" s="61"/>
      <c r="F72" s="108"/>
      <c r="G72" s="62"/>
      <c r="H72" s="62"/>
      <c r="I72" s="62"/>
      <c r="J72" s="63"/>
      <c r="K72" s="63"/>
      <c r="L72" s="64"/>
    </row>
    <row r="73" spans="1:12" ht="23.25" customHeight="1">
      <c r="A73" s="136"/>
      <c r="B73" s="45">
        <v>2.1</v>
      </c>
      <c r="C73" s="46"/>
      <c r="D73" s="47">
        <v>0</v>
      </c>
      <c r="E73" s="48"/>
      <c r="F73" s="48"/>
      <c r="G73" s="46"/>
      <c r="H73" s="46"/>
      <c r="I73" s="46"/>
      <c r="J73" s="51"/>
      <c r="K73" s="51"/>
      <c r="L73" s="51"/>
    </row>
    <row r="74" spans="1:12" ht="23.25" customHeight="1">
      <c r="A74" s="136"/>
      <c r="B74" s="45">
        <v>2.2000000000000002</v>
      </c>
      <c r="C74" s="46"/>
      <c r="D74" s="47">
        <v>0</v>
      </c>
      <c r="E74" s="48"/>
      <c r="F74" s="48"/>
      <c r="G74" s="46"/>
      <c r="H74" s="46"/>
      <c r="I74" s="46"/>
      <c r="J74" s="51"/>
      <c r="K74" s="51"/>
      <c r="L74" s="51"/>
    </row>
    <row r="75" spans="1:12" ht="23.25" customHeight="1">
      <c r="A75" s="136"/>
      <c r="B75" s="45">
        <v>2.2999999999999998</v>
      </c>
      <c r="C75" s="46"/>
      <c r="D75" s="47">
        <v>0</v>
      </c>
      <c r="E75" s="48"/>
      <c r="F75" s="48"/>
      <c r="G75" s="46"/>
      <c r="H75" s="46"/>
      <c r="I75" s="46"/>
      <c r="J75" s="51"/>
      <c r="K75" s="51"/>
      <c r="L75" s="51"/>
    </row>
    <row r="76" spans="1:12" ht="23.25" customHeight="1">
      <c r="A76" s="136"/>
      <c r="B76" s="45">
        <v>2.4</v>
      </c>
      <c r="C76" s="46"/>
      <c r="D76" s="47">
        <v>0</v>
      </c>
      <c r="E76" s="48"/>
      <c r="F76" s="48"/>
      <c r="G76" s="46"/>
      <c r="H76" s="46"/>
      <c r="I76" s="46"/>
      <c r="J76" s="51"/>
      <c r="K76" s="51"/>
      <c r="L76" s="51"/>
    </row>
    <row r="77" spans="1:12" ht="23.25" customHeight="1">
      <c r="A77" s="136"/>
      <c r="B77" s="45">
        <v>2.5</v>
      </c>
      <c r="C77" s="46"/>
      <c r="D77" s="47">
        <v>0</v>
      </c>
      <c r="E77" s="48"/>
      <c r="F77" s="48"/>
      <c r="G77" s="46"/>
      <c r="H77" s="46"/>
      <c r="I77" s="46"/>
      <c r="J77" s="51"/>
      <c r="K77" s="51"/>
      <c r="L77" s="51"/>
    </row>
    <row r="78" spans="1:12" ht="23.25" customHeight="1">
      <c r="A78" s="136"/>
      <c r="B78" s="45">
        <v>2.6</v>
      </c>
      <c r="C78" s="46"/>
      <c r="D78" s="47">
        <v>0</v>
      </c>
      <c r="E78" s="48"/>
      <c r="F78" s="48"/>
      <c r="G78" s="46"/>
      <c r="H78" s="46"/>
      <c r="I78" s="46"/>
      <c r="J78" s="51"/>
      <c r="K78" s="51"/>
      <c r="L78" s="51"/>
    </row>
    <row r="79" spans="1:12" ht="23.25" customHeight="1">
      <c r="A79" s="136"/>
      <c r="B79" s="45">
        <v>2.7</v>
      </c>
      <c r="C79" s="46"/>
      <c r="D79" s="47">
        <v>0</v>
      </c>
      <c r="E79" s="48"/>
      <c r="F79" s="48"/>
      <c r="G79" s="46"/>
      <c r="H79" s="46"/>
      <c r="I79" s="46"/>
      <c r="J79" s="51"/>
      <c r="K79" s="51"/>
      <c r="L79" s="51"/>
    </row>
    <row r="80" spans="1:12" ht="23.25" customHeight="1">
      <c r="A80" s="136"/>
      <c r="B80" s="45">
        <v>2.8</v>
      </c>
      <c r="C80" s="46"/>
      <c r="D80" s="47">
        <v>0</v>
      </c>
      <c r="E80" s="48"/>
      <c r="F80" s="48"/>
      <c r="G80" s="46"/>
      <c r="H80" s="46"/>
      <c r="I80" s="46"/>
      <c r="J80" s="51"/>
      <c r="K80" s="51"/>
      <c r="L80" s="51"/>
    </row>
    <row r="81" spans="1:12" ht="23.25" customHeight="1">
      <c r="A81" s="136"/>
      <c r="B81" s="45">
        <v>2.9</v>
      </c>
      <c r="C81" s="46"/>
      <c r="D81" s="47">
        <v>0</v>
      </c>
      <c r="E81" s="48"/>
      <c r="F81" s="48"/>
      <c r="G81" s="46"/>
      <c r="H81" s="46"/>
      <c r="I81" s="46"/>
      <c r="J81" s="51"/>
      <c r="K81" s="51"/>
      <c r="L81" s="51"/>
    </row>
    <row r="82" spans="1:12" ht="23.25" customHeight="1">
      <c r="A82" s="136"/>
      <c r="B82" s="52">
        <v>2.1</v>
      </c>
      <c r="C82" s="46"/>
      <c r="D82" s="47">
        <v>0</v>
      </c>
      <c r="E82" s="48"/>
      <c r="F82" s="48"/>
      <c r="G82" s="46"/>
      <c r="H82" s="46"/>
      <c r="I82" s="46"/>
      <c r="J82" s="51"/>
      <c r="K82" s="51"/>
      <c r="L82" s="51"/>
    </row>
    <row r="83" spans="1:12" ht="23.25" customHeight="1">
      <c r="A83" s="136"/>
      <c r="B83" s="58">
        <v>3</v>
      </c>
      <c r="C83" s="59"/>
      <c r="D83" s="60">
        <f>SUM(D84:D93)</f>
        <v>0</v>
      </c>
      <c r="E83" s="61"/>
      <c r="F83" s="108"/>
      <c r="G83" s="62"/>
      <c r="H83" s="62"/>
      <c r="I83" s="62"/>
      <c r="J83" s="63"/>
      <c r="K83" s="63"/>
      <c r="L83" s="64"/>
    </row>
    <row r="84" spans="1:12" ht="23.25" customHeight="1">
      <c r="A84" s="136"/>
      <c r="B84" s="45">
        <v>3.1</v>
      </c>
      <c r="C84" s="46"/>
      <c r="D84" s="47">
        <v>0</v>
      </c>
      <c r="E84" s="48"/>
      <c r="F84" s="48"/>
      <c r="G84" s="46"/>
      <c r="H84" s="46"/>
      <c r="I84" s="46"/>
      <c r="J84" s="51"/>
      <c r="K84" s="51"/>
      <c r="L84" s="51"/>
    </row>
    <row r="85" spans="1:12" ht="23.25" customHeight="1">
      <c r="A85" s="136"/>
      <c r="B85" s="45">
        <v>3.2</v>
      </c>
      <c r="C85" s="46"/>
      <c r="D85" s="47">
        <v>0</v>
      </c>
      <c r="E85" s="48"/>
      <c r="F85" s="48"/>
      <c r="G85" s="46"/>
      <c r="H85" s="46"/>
      <c r="I85" s="46"/>
      <c r="J85" s="51"/>
      <c r="K85" s="51"/>
      <c r="L85" s="51"/>
    </row>
    <row r="86" spans="1:12" ht="23.25" customHeight="1">
      <c r="A86" s="136"/>
      <c r="B86" s="45">
        <v>3.3</v>
      </c>
      <c r="C86" s="46"/>
      <c r="D86" s="47">
        <v>0</v>
      </c>
      <c r="E86" s="48"/>
      <c r="F86" s="48"/>
      <c r="G86" s="46"/>
      <c r="H86" s="46"/>
      <c r="I86" s="46"/>
      <c r="J86" s="51"/>
      <c r="K86" s="51"/>
      <c r="L86" s="51"/>
    </row>
    <row r="87" spans="1:12" ht="23.25" customHeight="1">
      <c r="A87" s="136"/>
      <c r="B87" s="45">
        <v>3.4</v>
      </c>
      <c r="C87" s="46"/>
      <c r="D87" s="47">
        <v>0</v>
      </c>
      <c r="E87" s="48"/>
      <c r="F87" s="48"/>
      <c r="G87" s="46"/>
      <c r="H87" s="46"/>
      <c r="I87" s="46"/>
      <c r="J87" s="51"/>
      <c r="K87" s="51"/>
      <c r="L87" s="51"/>
    </row>
    <row r="88" spans="1:12" ht="23.25" customHeight="1">
      <c r="A88" s="136"/>
      <c r="B88" s="45">
        <v>3.5</v>
      </c>
      <c r="C88" s="46"/>
      <c r="D88" s="47">
        <v>0</v>
      </c>
      <c r="E88" s="48"/>
      <c r="F88" s="48"/>
      <c r="G88" s="46"/>
      <c r="H88" s="46"/>
      <c r="I88" s="46"/>
      <c r="J88" s="51"/>
      <c r="K88" s="51"/>
      <c r="L88" s="51"/>
    </row>
    <row r="89" spans="1:12" ht="23.25" customHeight="1">
      <c r="A89" s="136"/>
      <c r="B89" s="45">
        <v>3.6</v>
      </c>
      <c r="C89" s="46"/>
      <c r="D89" s="47">
        <v>0</v>
      </c>
      <c r="E89" s="48"/>
      <c r="F89" s="48"/>
      <c r="G89" s="46"/>
      <c r="H89" s="46"/>
      <c r="I89" s="46"/>
      <c r="J89" s="51"/>
      <c r="K89" s="51"/>
      <c r="L89" s="51"/>
    </row>
    <row r="90" spans="1:12" ht="23.25" customHeight="1">
      <c r="A90" s="136"/>
      <c r="B90" s="45">
        <v>3.7</v>
      </c>
      <c r="C90" s="46"/>
      <c r="D90" s="47">
        <v>0</v>
      </c>
      <c r="E90" s="48"/>
      <c r="F90" s="48"/>
      <c r="G90" s="46"/>
      <c r="H90" s="46"/>
      <c r="I90" s="46"/>
      <c r="J90" s="51"/>
      <c r="K90" s="51"/>
      <c r="L90" s="51"/>
    </row>
    <row r="91" spans="1:12" ht="23.25" customHeight="1">
      <c r="A91" s="136"/>
      <c r="B91" s="45">
        <v>3.8</v>
      </c>
      <c r="C91" s="46"/>
      <c r="D91" s="47">
        <v>0</v>
      </c>
      <c r="E91" s="48"/>
      <c r="F91" s="48"/>
      <c r="G91" s="46"/>
      <c r="H91" s="46"/>
      <c r="I91" s="46"/>
      <c r="J91" s="51"/>
      <c r="K91" s="51"/>
      <c r="L91" s="51"/>
    </row>
    <row r="92" spans="1:12" ht="23.25" customHeight="1">
      <c r="A92" s="136"/>
      <c r="B92" s="45">
        <v>3.9</v>
      </c>
      <c r="C92" s="46"/>
      <c r="D92" s="47">
        <v>0</v>
      </c>
      <c r="E92" s="48"/>
      <c r="F92" s="48"/>
      <c r="G92" s="46"/>
      <c r="H92" s="46"/>
      <c r="I92" s="46"/>
      <c r="J92" s="51"/>
      <c r="K92" s="51"/>
      <c r="L92" s="51"/>
    </row>
    <row r="93" spans="1:12" ht="23.25" customHeight="1">
      <c r="A93" s="136"/>
      <c r="B93" s="52">
        <v>3.1</v>
      </c>
      <c r="C93" s="46"/>
      <c r="D93" s="47">
        <v>0</v>
      </c>
      <c r="E93" s="48"/>
      <c r="F93" s="48"/>
      <c r="G93" s="46"/>
      <c r="H93" s="46"/>
      <c r="I93" s="46"/>
      <c r="J93" s="51"/>
      <c r="K93" s="51"/>
      <c r="L93" s="51"/>
    </row>
    <row r="94" spans="1:12" ht="23.25" customHeight="1">
      <c r="A94" s="136"/>
      <c r="B94" s="58">
        <v>4</v>
      </c>
      <c r="C94" s="59"/>
      <c r="D94" s="60">
        <f>SUM(D95:D104)</f>
        <v>0</v>
      </c>
      <c r="E94" s="61"/>
      <c r="F94" s="108"/>
      <c r="G94" s="62"/>
      <c r="H94" s="62"/>
      <c r="I94" s="62"/>
      <c r="J94" s="63"/>
      <c r="K94" s="63"/>
      <c r="L94" s="64"/>
    </row>
    <row r="95" spans="1:12" ht="23.25" customHeight="1">
      <c r="A95" s="136"/>
      <c r="B95" s="45">
        <v>4.0999999999999996</v>
      </c>
      <c r="C95" s="46"/>
      <c r="D95" s="47">
        <v>0</v>
      </c>
      <c r="E95" s="48"/>
      <c r="F95" s="48"/>
      <c r="G95" s="46"/>
      <c r="H95" s="46"/>
      <c r="I95" s="46"/>
      <c r="J95" s="51"/>
      <c r="K95" s="51"/>
      <c r="L95" s="51"/>
    </row>
    <row r="96" spans="1:12" ht="23.25" customHeight="1">
      <c r="A96" s="136"/>
      <c r="B96" s="45">
        <v>4.2</v>
      </c>
      <c r="C96" s="46"/>
      <c r="D96" s="47">
        <v>0</v>
      </c>
      <c r="E96" s="48"/>
      <c r="F96" s="48"/>
      <c r="G96" s="46"/>
      <c r="H96" s="46"/>
      <c r="I96" s="46"/>
      <c r="J96" s="51"/>
      <c r="K96" s="51"/>
      <c r="L96" s="51"/>
    </row>
    <row r="97" spans="1:12" ht="23.25" customHeight="1">
      <c r="A97" s="136"/>
      <c r="B97" s="45">
        <v>4.3</v>
      </c>
      <c r="C97" s="46"/>
      <c r="D97" s="47">
        <v>0</v>
      </c>
      <c r="E97" s="48"/>
      <c r="F97" s="48"/>
      <c r="G97" s="46"/>
      <c r="H97" s="46"/>
      <c r="I97" s="46"/>
      <c r="J97" s="51"/>
      <c r="K97" s="51"/>
      <c r="L97" s="51"/>
    </row>
    <row r="98" spans="1:12" ht="23.25" customHeight="1">
      <c r="A98" s="136"/>
      <c r="B98" s="45">
        <v>4.4000000000000004</v>
      </c>
      <c r="C98" s="46"/>
      <c r="D98" s="47">
        <v>0</v>
      </c>
      <c r="E98" s="48"/>
      <c r="F98" s="48"/>
      <c r="G98" s="46"/>
      <c r="H98" s="46"/>
      <c r="I98" s="46"/>
      <c r="J98" s="51"/>
      <c r="K98" s="51"/>
      <c r="L98" s="51"/>
    </row>
    <row r="99" spans="1:12" ht="23.25" customHeight="1">
      <c r="A99" s="136"/>
      <c r="B99" s="45">
        <v>4.5</v>
      </c>
      <c r="C99" s="46"/>
      <c r="D99" s="47">
        <v>0</v>
      </c>
      <c r="E99" s="48"/>
      <c r="F99" s="48"/>
      <c r="G99" s="46"/>
      <c r="H99" s="46"/>
      <c r="I99" s="46"/>
      <c r="J99" s="51"/>
      <c r="K99" s="51"/>
      <c r="L99" s="51"/>
    </row>
    <row r="100" spans="1:12" ht="23.25" customHeight="1">
      <c r="A100" s="136"/>
      <c r="B100" s="45">
        <v>4.5999999999999996</v>
      </c>
      <c r="C100" s="46"/>
      <c r="D100" s="47">
        <v>0</v>
      </c>
      <c r="E100" s="48"/>
      <c r="F100" s="48"/>
      <c r="G100" s="46"/>
      <c r="H100" s="46"/>
      <c r="I100" s="46"/>
      <c r="J100" s="51"/>
      <c r="K100" s="51"/>
      <c r="L100" s="51"/>
    </row>
    <row r="101" spans="1:12" ht="23.25" customHeight="1">
      <c r="A101" s="136"/>
      <c r="B101" s="45">
        <v>4.7</v>
      </c>
      <c r="C101" s="46"/>
      <c r="D101" s="47">
        <v>0</v>
      </c>
      <c r="E101" s="48"/>
      <c r="F101" s="48"/>
      <c r="G101" s="46"/>
      <c r="H101" s="46"/>
      <c r="I101" s="46"/>
      <c r="J101" s="51"/>
      <c r="K101" s="51"/>
      <c r="L101" s="51"/>
    </row>
    <row r="102" spans="1:12" ht="23.25" customHeight="1">
      <c r="A102" s="136"/>
      <c r="B102" s="45">
        <v>4.8</v>
      </c>
      <c r="C102" s="46"/>
      <c r="D102" s="47">
        <v>0</v>
      </c>
      <c r="E102" s="48"/>
      <c r="F102" s="48"/>
      <c r="G102" s="46"/>
      <c r="H102" s="46"/>
      <c r="I102" s="46"/>
      <c r="J102" s="51"/>
      <c r="K102" s="51"/>
      <c r="L102" s="51"/>
    </row>
    <row r="103" spans="1:12" ht="23.25" customHeight="1">
      <c r="A103" s="136"/>
      <c r="B103" s="45">
        <v>4.9000000000000004</v>
      </c>
      <c r="C103" s="46"/>
      <c r="D103" s="47">
        <v>0</v>
      </c>
      <c r="E103" s="48"/>
      <c r="F103" s="48"/>
      <c r="G103" s="46"/>
      <c r="H103" s="46"/>
      <c r="I103" s="46"/>
      <c r="J103" s="51"/>
      <c r="K103" s="51"/>
      <c r="L103" s="51"/>
    </row>
    <row r="104" spans="1:12" ht="23.25" customHeight="1">
      <c r="A104" s="136"/>
      <c r="B104" s="52">
        <v>4.0999999999999996</v>
      </c>
      <c r="C104" s="46"/>
      <c r="D104" s="47">
        <v>0</v>
      </c>
      <c r="E104" s="48"/>
      <c r="F104" s="48"/>
      <c r="G104" s="46"/>
      <c r="H104" s="46"/>
      <c r="I104" s="46"/>
      <c r="J104" s="51"/>
      <c r="K104" s="51"/>
      <c r="L104" s="51"/>
    </row>
    <row r="105" spans="1:12" ht="23.25" customHeight="1">
      <c r="A105" s="136"/>
      <c r="B105" s="58">
        <v>5</v>
      </c>
      <c r="C105" s="59"/>
      <c r="D105" s="60">
        <f>SUM(D106:D115)</f>
        <v>0</v>
      </c>
      <c r="E105" s="61"/>
      <c r="F105" s="108"/>
      <c r="G105" s="62"/>
      <c r="H105" s="62"/>
      <c r="I105" s="62"/>
      <c r="J105" s="63"/>
      <c r="K105" s="63"/>
      <c r="L105" s="64"/>
    </row>
    <row r="106" spans="1:12" ht="23.25" customHeight="1">
      <c r="A106" s="136"/>
      <c r="B106" s="45">
        <v>5.0999999999999996</v>
      </c>
      <c r="C106" s="46"/>
      <c r="D106" s="47">
        <v>0</v>
      </c>
      <c r="E106" s="48"/>
      <c r="F106" s="48"/>
      <c r="G106" s="46"/>
      <c r="H106" s="46"/>
      <c r="I106" s="46"/>
      <c r="J106" s="51"/>
      <c r="K106" s="51"/>
      <c r="L106" s="51"/>
    </row>
    <row r="107" spans="1:12" ht="23.25" customHeight="1">
      <c r="A107" s="136"/>
      <c r="B107" s="45">
        <v>5.2</v>
      </c>
      <c r="C107" s="46"/>
      <c r="D107" s="47">
        <v>0</v>
      </c>
      <c r="E107" s="48"/>
      <c r="F107" s="48"/>
      <c r="G107" s="46"/>
      <c r="H107" s="46"/>
      <c r="I107" s="46"/>
      <c r="J107" s="51"/>
      <c r="K107" s="51"/>
      <c r="L107" s="51"/>
    </row>
    <row r="108" spans="1:12" ht="23.25" customHeight="1">
      <c r="A108" s="136"/>
      <c r="B108" s="45">
        <v>5.3</v>
      </c>
      <c r="C108" s="46"/>
      <c r="D108" s="47">
        <v>0</v>
      </c>
      <c r="E108" s="48"/>
      <c r="F108" s="48"/>
      <c r="G108" s="46"/>
      <c r="H108" s="46"/>
      <c r="I108" s="46"/>
      <c r="J108" s="51"/>
      <c r="K108" s="51"/>
      <c r="L108" s="51"/>
    </row>
    <row r="109" spans="1:12" ht="23.25" customHeight="1">
      <c r="A109" s="136"/>
      <c r="B109" s="45">
        <v>5.4</v>
      </c>
      <c r="C109" s="46"/>
      <c r="D109" s="47">
        <v>0</v>
      </c>
      <c r="E109" s="48"/>
      <c r="F109" s="48"/>
      <c r="G109" s="46"/>
      <c r="H109" s="46"/>
      <c r="I109" s="46"/>
      <c r="J109" s="51"/>
      <c r="K109" s="51"/>
      <c r="L109" s="51"/>
    </row>
    <row r="110" spans="1:12" ht="23.25" customHeight="1">
      <c r="A110" s="136"/>
      <c r="B110" s="45">
        <v>5.5</v>
      </c>
      <c r="C110" s="46"/>
      <c r="D110" s="47">
        <v>0</v>
      </c>
      <c r="E110" s="48"/>
      <c r="F110" s="48"/>
      <c r="G110" s="46"/>
      <c r="H110" s="46"/>
      <c r="I110" s="46"/>
      <c r="J110" s="51"/>
      <c r="K110" s="51"/>
      <c r="L110" s="51"/>
    </row>
    <row r="111" spans="1:12" ht="23.25" customHeight="1">
      <c r="A111" s="136"/>
      <c r="B111" s="45">
        <v>5.6</v>
      </c>
      <c r="C111" s="46"/>
      <c r="D111" s="47">
        <v>0</v>
      </c>
      <c r="E111" s="48"/>
      <c r="F111" s="48"/>
      <c r="G111" s="46"/>
      <c r="H111" s="46"/>
      <c r="I111" s="46"/>
      <c r="J111" s="51"/>
      <c r="K111" s="51"/>
      <c r="L111" s="51"/>
    </row>
    <row r="112" spans="1:12" ht="23.25" customHeight="1">
      <c r="A112" s="136"/>
      <c r="B112" s="45">
        <v>5.7</v>
      </c>
      <c r="C112" s="46"/>
      <c r="D112" s="47">
        <v>0</v>
      </c>
      <c r="E112" s="48"/>
      <c r="F112" s="48"/>
      <c r="G112" s="46"/>
      <c r="H112" s="46"/>
      <c r="I112" s="46"/>
      <c r="J112" s="51"/>
      <c r="K112" s="51"/>
      <c r="L112" s="51"/>
    </row>
    <row r="113" spans="1:12" ht="23.25" customHeight="1">
      <c r="A113" s="136"/>
      <c r="B113" s="45">
        <v>5.8</v>
      </c>
      <c r="C113" s="46"/>
      <c r="D113" s="47">
        <v>0</v>
      </c>
      <c r="E113" s="48"/>
      <c r="F113" s="48"/>
      <c r="G113" s="46"/>
      <c r="H113" s="46"/>
      <c r="I113" s="46"/>
      <c r="J113" s="51"/>
      <c r="K113" s="51"/>
      <c r="L113" s="51"/>
    </row>
    <row r="114" spans="1:12" ht="23.25" customHeight="1">
      <c r="A114" s="136"/>
      <c r="B114" s="45">
        <v>5.9</v>
      </c>
      <c r="C114" s="46"/>
      <c r="D114" s="47">
        <v>0</v>
      </c>
      <c r="E114" s="48"/>
      <c r="F114" s="48"/>
      <c r="G114" s="46"/>
      <c r="H114" s="46"/>
      <c r="I114" s="46"/>
      <c r="J114" s="51"/>
      <c r="K114" s="51"/>
      <c r="L114" s="51"/>
    </row>
    <row r="115" spans="1:12" ht="23.25" customHeight="1">
      <c r="A115" s="137"/>
      <c r="B115" s="52">
        <v>5.0999999999999996</v>
      </c>
      <c r="C115" s="46"/>
      <c r="D115" s="47">
        <v>0</v>
      </c>
      <c r="E115" s="48"/>
      <c r="F115" s="48"/>
      <c r="G115" s="46"/>
      <c r="H115" s="46"/>
      <c r="I115" s="46"/>
      <c r="J115" s="51"/>
      <c r="K115" s="51"/>
      <c r="L115" s="51"/>
    </row>
    <row r="116" spans="1:12" ht="32.1" customHeight="1">
      <c r="A116" s="130" t="s">
        <v>62</v>
      </c>
      <c r="B116" s="131"/>
      <c r="C116" s="132"/>
      <c r="D116" s="65">
        <f>SUM(D61+D72+D83+D94+D105)</f>
        <v>0</v>
      </c>
      <c r="E116" s="56"/>
      <c r="F116" s="56"/>
      <c r="G116" s="133"/>
      <c r="H116" s="134"/>
      <c r="I116" s="134"/>
      <c r="J116" s="134"/>
      <c r="K116" s="134"/>
      <c r="L116" s="134"/>
    </row>
    <row r="117" spans="1:12" ht="23.25">
      <c r="A117" s="138" t="s">
        <v>63</v>
      </c>
      <c r="B117" s="66">
        <v>1</v>
      </c>
      <c r="C117" s="67"/>
      <c r="D117" s="68">
        <f>SUM(D118:D127)</f>
        <v>0</v>
      </c>
      <c r="E117" s="69"/>
      <c r="F117" s="109"/>
      <c r="G117" s="70"/>
      <c r="H117" s="70"/>
      <c r="I117" s="70"/>
      <c r="J117" s="71"/>
      <c r="K117" s="71"/>
      <c r="L117" s="72"/>
    </row>
    <row r="118" spans="1:12">
      <c r="A118" s="139"/>
      <c r="B118" s="45">
        <v>1.1000000000000001</v>
      </c>
      <c r="C118" s="46"/>
      <c r="D118" s="47">
        <v>0</v>
      </c>
      <c r="E118" s="48"/>
      <c r="F118" s="48"/>
      <c r="G118" s="46"/>
      <c r="H118" s="46"/>
      <c r="I118" s="46"/>
      <c r="J118" s="51"/>
      <c r="K118" s="51"/>
      <c r="L118" s="51"/>
    </row>
    <row r="119" spans="1:12">
      <c r="A119" s="139"/>
      <c r="B119" s="45">
        <v>1.2</v>
      </c>
      <c r="C119" s="46"/>
      <c r="D119" s="47">
        <v>0</v>
      </c>
      <c r="E119" s="48"/>
      <c r="F119" s="48"/>
      <c r="G119" s="46"/>
      <c r="H119" s="46"/>
      <c r="I119" s="46"/>
      <c r="J119" s="51"/>
      <c r="K119" s="51"/>
      <c r="L119" s="51"/>
    </row>
    <row r="120" spans="1:12">
      <c r="A120" s="139"/>
      <c r="B120" s="45">
        <v>1.3</v>
      </c>
      <c r="C120" s="46"/>
      <c r="D120" s="47">
        <v>0</v>
      </c>
      <c r="E120" s="48"/>
      <c r="F120" s="48"/>
      <c r="G120" s="46"/>
      <c r="H120" s="46"/>
      <c r="I120" s="46"/>
      <c r="J120" s="51"/>
      <c r="K120" s="51"/>
      <c r="L120" s="51"/>
    </row>
    <row r="121" spans="1:12">
      <c r="A121" s="139"/>
      <c r="B121" s="45">
        <v>1.4</v>
      </c>
      <c r="C121" s="46"/>
      <c r="D121" s="47">
        <v>0</v>
      </c>
      <c r="E121" s="48"/>
      <c r="F121" s="48"/>
      <c r="G121" s="46"/>
      <c r="H121" s="46"/>
      <c r="I121" s="46"/>
      <c r="J121" s="51"/>
      <c r="K121" s="51"/>
      <c r="L121" s="51"/>
    </row>
    <row r="122" spans="1:12">
      <c r="A122" s="139"/>
      <c r="B122" s="45">
        <v>1.5</v>
      </c>
      <c r="C122" s="46"/>
      <c r="D122" s="47">
        <v>0</v>
      </c>
      <c r="E122" s="48"/>
      <c r="F122" s="48"/>
      <c r="G122" s="46"/>
      <c r="H122" s="46"/>
      <c r="I122" s="46"/>
      <c r="J122" s="51"/>
      <c r="K122" s="51"/>
      <c r="L122" s="51"/>
    </row>
    <row r="123" spans="1:12">
      <c r="A123" s="139"/>
      <c r="B123" s="45">
        <v>1.6</v>
      </c>
      <c r="C123" s="46"/>
      <c r="D123" s="47">
        <v>0</v>
      </c>
      <c r="E123" s="48"/>
      <c r="F123" s="48"/>
      <c r="G123" s="46"/>
      <c r="H123" s="46"/>
      <c r="I123" s="46"/>
      <c r="J123" s="51"/>
      <c r="K123" s="51"/>
      <c r="L123" s="51"/>
    </row>
    <row r="124" spans="1:12">
      <c r="A124" s="139"/>
      <c r="B124" s="45">
        <v>1.7</v>
      </c>
      <c r="C124" s="46"/>
      <c r="D124" s="47">
        <v>0</v>
      </c>
      <c r="E124" s="48"/>
      <c r="F124" s="48"/>
      <c r="G124" s="46"/>
      <c r="H124" s="46"/>
      <c r="I124" s="46"/>
      <c r="J124" s="51"/>
      <c r="K124" s="51"/>
      <c r="L124" s="51"/>
    </row>
    <row r="125" spans="1:12">
      <c r="A125" s="139"/>
      <c r="B125" s="45">
        <v>1.8</v>
      </c>
      <c r="C125" s="46"/>
      <c r="D125" s="47">
        <v>0</v>
      </c>
      <c r="E125" s="48"/>
      <c r="F125" s="48"/>
      <c r="G125" s="46"/>
      <c r="H125" s="46"/>
      <c r="I125" s="46"/>
      <c r="J125" s="51"/>
      <c r="K125" s="51"/>
      <c r="L125" s="51"/>
    </row>
    <row r="126" spans="1:12">
      <c r="A126" s="139"/>
      <c r="B126" s="45">
        <v>1.9</v>
      </c>
      <c r="C126" s="46"/>
      <c r="D126" s="47">
        <v>0</v>
      </c>
      <c r="E126" s="48"/>
      <c r="F126" s="48"/>
      <c r="G126" s="46"/>
      <c r="H126" s="46"/>
      <c r="I126" s="46"/>
      <c r="J126" s="51"/>
      <c r="K126" s="51"/>
      <c r="L126" s="51"/>
    </row>
    <row r="127" spans="1:12">
      <c r="A127" s="139"/>
      <c r="B127" s="52">
        <v>1.1000000000000001</v>
      </c>
      <c r="C127" s="46"/>
      <c r="D127" s="47">
        <v>0</v>
      </c>
      <c r="E127" s="48"/>
      <c r="F127" s="48"/>
      <c r="G127" s="46"/>
      <c r="H127" s="46"/>
      <c r="I127" s="46"/>
      <c r="J127" s="51"/>
      <c r="K127" s="51"/>
      <c r="L127" s="51"/>
    </row>
    <row r="128" spans="1:12">
      <c r="A128" s="139"/>
      <c r="B128" s="66">
        <v>2</v>
      </c>
      <c r="C128" s="67"/>
      <c r="D128" s="68">
        <f>SUM(D129:D138)</f>
        <v>0</v>
      </c>
      <c r="E128" s="69"/>
      <c r="F128" s="109"/>
      <c r="G128" s="70"/>
      <c r="H128" s="70"/>
      <c r="I128" s="70"/>
      <c r="J128" s="71"/>
      <c r="K128" s="71"/>
      <c r="L128" s="72"/>
    </row>
    <row r="129" spans="1:12">
      <c r="A129" s="139"/>
      <c r="B129" s="45">
        <v>2.1</v>
      </c>
      <c r="C129" s="46"/>
      <c r="D129" s="47">
        <v>0</v>
      </c>
      <c r="E129" s="48"/>
      <c r="F129" s="48"/>
      <c r="G129" s="46"/>
      <c r="H129" s="46"/>
      <c r="I129" s="46"/>
      <c r="J129" s="51"/>
      <c r="K129" s="51"/>
      <c r="L129" s="51"/>
    </row>
    <row r="130" spans="1:12">
      <c r="A130" s="139"/>
      <c r="B130" s="45">
        <v>2.2000000000000002</v>
      </c>
      <c r="C130" s="46"/>
      <c r="D130" s="47">
        <v>0</v>
      </c>
      <c r="E130" s="48"/>
      <c r="F130" s="48"/>
      <c r="G130" s="46"/>
      <c r="H130" s="46"/>
      <c r="I130" s="46"/>
      <c r="J130" s="51"/>
      <c r="K130" s="51"/>
      <c r="L130" s="51"/>
    </row>
    <row r="131" spans="1:12">
      <c r="A131" s="139"/>
      <c r="B131" s="45">
        <v>2.2999999999999998</v>
      </c>
      <c r="C131" s="46"/>
      <c r="D131" s="47">
        <v>0</v>
      </c>
      <c r="E131" s="48"/>
      <c r="F131" s="48"/>
      <c r="G131" s="46"/>
      <c r="H131" s="46"/>
      <c r="I131" s="46"/>
      <c r="J131" s="51"/>
      <c r="K131" s="51"/>
      <c r="L131" s="51"/>
    </row>
    <row r="132" spans="1:12">
      <c r="A132" s="139"/>
      <c r="B132" s="45">
        <v>2.4</v>
      </c>
      <c r="C132" s="46"/>
      <c r="D132" s="47">
        <v>0</v>
      </c>
      <c r="E132" s="48"/>
      <c r="F132" s="48"/>
      <c r="G132" s="46"/>
      <c r="H132" s="46"/>
      <c r="I132" s="46"/>
      <c r="J132" s="51"/>
      <c r="K132" s="51"/>
      <c r="L132" s="51"/>
    </row>
    <row r="133" spans="1:12">
      <c r="A133" s="139"/>
      <c r="B133" s="45">
        <v>2.5</v>
      </c>
      <c r="C133" s="46"/>
      <c r="D133" s="47">
        <v>0</v>
      </c>
      <c r="E133" s="48"/>
      <c r="F133" s="48"/>
      <c r="G133" s="46"/>
      <c r="H133" s="46"/>
      <c r="I133" s="46"/>
      <c r="J133" s="51"/>
      <c r="K133" s="51"/>
      <c r="L133" s="51"/>
    </row>
    <row r="134" spans="1:12">
      <c r="A134" s="139"/>
      <c r="B134" s="45">
        <v>2.6</v>
      </c>
      <c r="C134" s="46"/>
      <c r="D134" s="47">
        <v>0</v>
      </c>
      <c r="E134" s="48"/>
      <c r="F134" s="48"/>
      <c r="G134" s="46"/>
      <c r="H134" s="46"/>
      <c r="I134" s="46"/>
      <c r="J134" s="51"/>
      <c r="K134" s="51"/>
      <c r="L134" s="51"/>
    </row>
    <row r="135" spans="1:12">
      <c r="A135" s="139"/>
      <c r="B135" s="45">
        <v>2.7</v>
      </c>
      <c r="C135" s="46"/>
      <c r="D135" s="47">
        <v>0</v>
      </c>
      <c r="E135" s="48"/>
      <c r="F135" s="48"/>
      <c r="G135" s="46"/>
      <c r="H135" s="46"/>
      <c r="I135" s="46"/>
      <c r="J135" s="51"/>
      <c r="K135" s="51"/>
      <c r="L135" s="51"/>
    </row>
    <row r="136" spans="1:12">
      <c r="A136" s="139"/>
      <c r="B136" s="45">
        <v>2.8</v>
      </c>
      <c r="C136" s="46"/>
      <c r="D136" s="47">
        <v>0</v>
      </c>
      <c r="E136" s="48"/>
      <c r="F136" s="48"/>
      <c r="G136" s="46"/>
      <c r="H136" s="46"/>
      <c r="I136" s="46"/>
      <c r="J136" s="51"/>
      <c r="K136" s="51"/>
      <c r="L136" s="51"/>
    </row>
    <row r="137" spans="1:12">
      <c r="A137" s="139"/>
      <c r="B137" s="45">
        <v>2.9</v>
      </c>
      <c r="C137" s="46"/>
      <c r="D137" s="47">
        <v>0</v>
      </c>
      <c r="E137" s="48"/>
      <c r="F137" s="48"/>
      <c r="G137" s="46"/>
      <c r="H137" s="46"/>
      <c r="I137" s="46"/>
      <c r="J137" s="51"/>
      <c r="K137" s="51"/>
      <c r="L137" s="51"/>
    </row>
    <row r="138" spans="1:12">
      <c r="A138" s="139"/>
      <c r="B138" s="52">
        <v>2.1</v>
      </c>
      <c r="C138" s="46"/>
      <c r="D138" s="47">
        <v>0</v>
      </c>
      <c r="E138" s="48"/>
      <c r="F138" s="48"/>
      <c r="G138" s="46"/>
      <c r="H138" s="46"/>
      <c r="I138" s="46"/>
      <c r="J138" s="51"/>
      <c r="K138" s="51"/>
      <c r="L138" s="51"/>
    </row>
    <row r="139" spans="1:12">
      <c r="A139" s="139"/>
      <c r="B139" s="66">
        <v>3</v>
      </c>
      <c r="C139" s="67"/>
      <c r="D139" s="68">
        <f>SUM(D140:D149)</f>
        <v>0</v>
      </c>
      <c r="E139" s="69"/>
      <c r="F139" s="109"/>
      <c r="G139" s="70"/>
      <c r="H139" s="70"/>
      <c r="I139" s="70"/>
      <c r="J139" s="71"/>
      <c r="K139" s="71"/>
      <c r="L139" s="72"/>
    </row>
    <row r="140" spans="1:12">
      <c r="A140" s="139"/>
      <c r="B140" s="45">
        <v>3.1</v>
      </c>
      <c r="C140" s="46"/>
      <c r="D140" s="47">
        <v>0</v>
      </c>
      <c r="E140" s="48"/>
      <c r="F140" s="48"/>
      <c r="G140" s="46"/>
      <c r="H140" s="46"/>
      <c r="I140" s="46"/>
      <c r="J140" s="51"/>
      <c r="K140" s="51"/>
      <c r="L140" s="51"/>
    </row>
    <row r="141" spans="1:12">
      <c r="A141" s="139"/>
      <c r="B141" s="45">
        <v>3.2</v>
      </c>
      <c r="C141" s="46"/>
      <c r="D141" s="47">
        <v>0</v>
      </c>
      <c r="E141" s="48"/>
      <c r="F141" s="48"/>
      <c r="G141" s="46"/>
      <c r="H141" s="46"/>
      <c r="I141" s="46"/>
      <c r="J141" s="51"/>
      <c r="K141" s="51"/>
      <c r="L141" s="51"/>
    </row>
    <row r="142" spans="1:12">
      <c r="A142" s="139"/>
      <c r="B142" s="45">
        <v>3.3</v>
      </c>
      <c r="C142" s="46"/>
      <c r="D142" s="47">
        <v>0</v>
      </c>
      <c r="E142" s="48"/>
      <c r="F142" s="48"/>
      <c r="G142" s="46"/>
      <c r="H142" s="46"/>
      <c r="I142" s="46"/>
      <c r="J142" s="51"/>
      <c r="K142" s="51"/>
      <c r="L142" s="51"/>
    </row>
    <row r="143" spans="1:12">
      <c r="A143" s="139"/>
      <c r="B143" s="45">
        <v>3.4</v>
      </c>
      <c r="C143" s="46"/>
      <c r="D143" s="47">
        <v>0</v>
      </c>
      <c r="E143" s="48"/>
      <c r="F143" s="48"/>
      <c r="G143" s="46"/>
      <c r="H143" s="46"/>
      <c r="I143" s="46"/>
      <c r="J143" s="51"/>
      <c r="K143" s="51"/>
      <c r="L143" s="51"/>
    </row>
    <row r="144" spans="1:12">
      <c r="A144" s="139"/>
      <c r="B144" s="45">
        <v>3.5</v>
      </c>
      <c r="C144" s="46"/>
      <c r="D144" s="47">
        <v>0</v>
      </c>
      <c r="E144" s="48"/>
      <c r="F144" s="48"/>
      <c r="G144" s="46"/>
      <c r="H144" s="46"/>
      <c r="I144" s="46"/>
      <c r="J144" s="51"/>
      <c r="K144" s="51"/>
      <c r="L144" s="51"/>
    </row>
    <row r="145" spans="1:12">
      <c r="A145" s="139"/>
      <c r="B145" s="45">
        <v>3.6</v>
      </c>
      <c r="C145" s="46"/>
      <c r="D145" s="47">
        <v>0</v>
      </c>
      <c r="E145" s="48"/>
      <c r="F145" s="48"/>
      <c r="G145" s="46"/>
      <c r="H145" s="46"/>
      <c r="I145" s="46"/>
      <c r="J145" s="51"/>
      <c r="K145" s="51"/>
      <c r="L145" s="51"/>
    </row>
    <row r="146" spans="1:12">
      <c r="A146" s="139"/>
      <c r="B146" s="45">
        <v>3.7</v>
      </c>
      <c r="C146" s="46"/>
      <c r="D146" s="47">
        <v>0</v>
      </c>
      <c r="E146" s="48"/>
      <c r="F146" s="48"/>
      <c r="G146" s="46"/>
      <c r="H146" s="46"/>
      <c r="I146" s="46"/>
      <c r="J146" s="51"/>
      <c r="K146" s="51"/>
      <c r="L146" s="51"/>
    </row>
    <row r="147" spans="1:12">
      <c r="A147" s="139"/>
      <c r="B147" s="45">
        <v>3.8</v>
      </c>
      <c r="C147" s="46"/>
      <c r="D147" s="47">
        <v>0</v>
      </c>
      <c r="E147" s="48"/>
      <c r="F147" s="48"/>
      <c r="G147" s="46"/>
      <c r="H147" s="46"/>
      <c r="I147" s="46"/>
      <c r="J147" s="51"/>
      <c r="K147" s="51"/>
      <c r="L147" s="51"/>
    </row>
    <row r="148" spans="1:12">
      <c r="A148" s="139"/>
      <c r="B148" s="45">
        <v>3.9</v>
      </c>
      <c r="C148" s="46"/>
      <c r="D148" s="47">
        <v>0</v>
      </c>
      <c r="E148" s="48"/>
      <c r="F148" s="48"/>
      <c r="G148" s="46"/>
      <c r="H148" s="46"/>
      <c r="I148" s="46"/>
      <c r="J148" s="51"/>
      <c r="K148" s="51"/>
      <c r="L148" s="51"/>
    </row>
    <row r="149" spans="1:12">
      <c r="A149" s="139"/>
      <c r="B149" s="52">
        <v>3.1</v>
      </c>
      <c r="C149" s="46"/>
      <c r="D149" s="47">
        <v>0</v>
      </c>
      <c r="E149" s="48"/>
      <c r="F149" s="48"/>
      <c r="G149" s="46"/>
      <c r="H149" s="46"/>
      <c r="I149" s="46"/>
      <c r="J149" s="51"/>
      <c r="K149" s="51"/>
      <c r="L149" s="51"/>
    </row>
    <row r="150" spans="1:12">
      <c r="A150" s="139"/>
      <c r="B150" s="66">
        <v>4</v>
      </c>
      <c r="C150" s="67"/>
      <c r="D150" s="68">
        <f>SUM(D151:D160)</f>
        <v>0</v>
      </c>
      <c r="E150" s="69"/>
      <c r="F150" s="109"/>
      <c r="G150" s="70"/>
      <c r="H150" s="70"/>
      <c r="I150" s="70"/>
      <c r="J150" s="71"/>
      <c r="K150" s="71"/>
      <c r="L150" s="72"/>
    </row>
    <row r="151" spans="1:12">
      <c r="A151" s="139"/>
      <c r="B151" s="45">
        <v>4.0999999999999996</v>
      </c>
      <c r="C151" s="46"/>
      <c r="D151" s="47">
        <v>0</v>
      </c>
      <c r="E151" s="48"/>
      <c r="F151" s="48"/>
      <c r="G151" s="46"/>
      <c r="H151" s="46"/>
      <c r="I151" s="46"/>
      <c r="J151" s="51"/>
      <c r="K151" s="51"/>
      <c r="L151" s="51"/>
    </row>
    <row r="152" spans="1:12">
      <c r="A152" s="139"/>
      <c r="B152" s="45">
        <v>4.2</v>
      </c>
      <c r="C152" s="46"/>
      <c r="D152" s="47">
        <v>0</v>
      </c>
      <c r="E152" s="48"/>
      <c r="F152" s="48"/>
      <c r="G152" s="46"/>
      <c r="H152" s="46"/>
      <c r="I152" s="46"/>
      <c r="J152" s="51"/>
      <c r="K152" s="51"/>
      <c r="L152" s="51"/>
    </row>
    <row r="153" spans="1:12">
      <c r="A153" s="139"/>
      <c r="B153" s="45">
        <v>4.3</v>
      </c>
      <c r="C153" s="46"/>
      <c r="D153" s="47">
        <v>0</v>
      </c>
      <c r="E153" s="48"/>
      <c r="F153" s="48"/>
      <c r="G153" s="46"/>
      <c r="H153" s="46"/>
      <c r="I153" s="46"/>
      <c r="J153" s="51"/>
      <c r="K153" s="51"/>
      <c r="L153" s="51"/>
    </row>
    <row r="154" spans="1:12">
      <c r="A154" s="139"/>
      <c r="B154" s="45">
        <v>4.4000000000000004</v>
      </c>
      <c r="C154" s="46"/>
      <c r="D154" s="47">
        <v>0</v>
      </c>
      <c r="E154" s="48"/>
      <c r="F154" s="48"/>
      <c r="G154" s="46"/>
      <c r="H154" s="46"/>
      <c r="I154" s="46"/>
      <c r="J154" s="51"/>
      <c r="K154" s="51"/>
      <c r="L154" s="51"/>
    </row>
    <row r="155" spans="1:12">
      <c r="A155" s="139"/>
      <c r="B155" s="45">
        <v>4.5</v>
      </c>
      <c r="C155" s="46"/>
      <c r="D155" s="47">
        <v>0</v>
      </c>
      <c r="E155" s="48"/>
      <c r="F155" s="48"/>
      <c r="G155" s="46"/>
      <c r="H155" s="46"/>
      <c r="I155" s="46"/>
      <c r="J155" s="51"/>
      <c r="K155" s="51"/>
      <c r="L155" s="51"/>
    </row>
    <row r="156" spans="1:12">
      <c r="A156" s="139"/>
      <c r="B156" s="45">
        <v>4.5999999999999996</v>
      </c>
      <c r="C156" s="46"/>
      <c r="D156" s="47">
        <v>0</v>
      </c>
      <c r="E156" s="48"/>
      <c r="F156" s="48"/>
      <c r="G156" s="46"/>
      <c r="H156" s="46"/>
      <c r="I156" s="46"/>
      <c r="J156" s="51"/>
      <c r="K156" s="51"/>
      <c r="L156" s="51"/>
    </row>
    <row r="157" spans="1:12">
      <c r="A157" s="139"/>
      <c r="B157" s="45">
        <v>4.7</v>
      </c>
      <c r="C157" s="46"/>
      <c r="D157" s="47">
        <v>0</v>
      </c>
      <c r="E157" s="48"/>
      <c r="F157" s="48"/>
      <c r="G157" s="46"/>
      <c r="H157" s="46"/>
      <c r="I157" s="46"/>
      <c r="J157" s="51"/>
      <c r="K157" s="51"/>
      <c r="L157" s="51"/>
    </row>
    <row r="158" spans="1:12">
      <c r="A158" s="139"/>
      <c r="B158" s="45">
        <v>4.8</v>
      </c>
      <c r="C158" s="46"/>
      <c r="D158" s="47">
        <v>0</v>
      </c>
      <c r="E158" s="48"/>
      <c r="F158" s="48"/>
      <c r="G158" s="46"/>
      <c r="H158" s="46"/>
      <c r="I158" s="46"/>
      <c r="J158" s="51"/>
      <c r="K158" s="51"/>
      <c r="L158" s="51"/>
    </row>
    <row r="159" spans="1:12">
      <c r="A159" s="139"/>
      <c r="B159" s="45">
        <v>4.9000000000000004</v>
      </c>
      <c r="C159" s="46"/>
      <c r="D159" s="47">
        <v>0</v>
      </c>
      <c r="E159" s="48"/>
      <c r="F159" s="48"/>
      <c r="G159" s="46"/>
      <c r="H159" s="46"/>
      <c r="I159" s="46"/>
      <c r="J159" s="51"/>
      <c r="K159" s="51"/>
      <c r="L159" s="51"/>
    </row>
    <row r="160" spans="1:12">
      <c r="A160" s="139"/>
      <c r="B160" s="52">
        <v>4.0999999999999996</v>
      </c>
      <c r="C160" s="46"/>
      <c r="D160" s="47">
        <v>0</v>
      </c>
      <c r="E160" s="48"/>
      <c r="F160" s="48"/>
      <c r="G160" s="46"/>
      <c r="H160" s="46"/>
      <c r="I160" s="46"/>
      <c r="J160" s="51"/>
      <c r="K160" s="51"/>
      <c r="L160" s="51"/>
    </row>
    <row r="161" spans="1:12">
      <c r="A161" s="139"/>
      <c r="B161" s="66">
        <v>5</v>
      </c>
      <c r="C161" s="67"/>
      <c r="D161" s="68">
        <f>SUM(D162:D171)</f>
        <v>0</v>
      </c>
      <c r="E161" s="69"/>
      <c r="F161" s="109"/>
      <c r="G161" s="70"/>
      <c r="H161" s="70"/>
      <c r="I161" s="70"/>
      <c r="J161" s="71"/>
      <c r="K161" s="71"/>
      <c r="L161" s="72"/>
    </row>
    <row r="162" spans="1:12">
      <c r="A162" s="139"/>
      <c r="B162" s="45">
        <v>5.0999999999999996</v>
      </c>
      <c r="C162" s="46"/>
      <c r="D162" s="47">
        <v>0</v>
      </c>
      <c r="E162" s="48"/>
      <c r="F162" s="48"/>
      <c r="G162" s="46"/>
      <c r="H162" s="46"/>
      <c r="I162" s="46"/>
      <c r="J162" s="51"/>
      <c r="K162" s="51"/>
      <c r="L162" s="51"/>
    </row>
    <row r="163" spans="1:12">
      <c r="A163" s="139"/>
      <c r="B163" s="45">
        <v>5.2</v>
      </c>
      <c r="C163" s="46"/>
      <c r="D163" s="47">
        <v>0</v>
      </c>
      <c r="E163" s="48"/>
      <c r="F163" s="48"/>
      <c r="G163" s="46"/>
      <c r="H163" s="46"/>
      <c r="I163" s="46"/>
      <c r="J163" s="51"/>
      <c r="K163" s="51"/>
      <c r="L163" s="51"/>
    </row>
    <row r="164" spans="1:12">
      <c r="A164" s="139"/>
      <c r="B164" s="45">
        <v>5.3</v>
      </c>
      <c r="C164" s="46"/>
      <c r="D164" s="47">
        <v>0</v>
      </c>
      <c r="E164" s="48"/>
      <c r="F164" s="48"/>
      <c r="G164" s="46"/>
      <c r="H164" s="46"/>
      <c r="I164" s="46"/>
      <c r="J164" s="51"/>
      <c r="K164" s="51"/>
      <c r="L164" s="51"/>
    </row>
    <row r="165" spans="1:12">
      <c r="A165" s="139"/>
      <c r="B165" s="45">
        <v>5.4</v>
      </c>
      <c r="C165" s="46"/>
      <c r="D165" s="47">
        <v>0</v>
      </c>
      <c r="E165" s="48"/>
      <c r="F165" s="48"/>
      <c r="G165" s="46"/>
      <c r="H165" s="46"/>
      <c r="I165" s="46"/>
      <c r="J165" s="51"/>
      <c r="K165" s="51"/>
      <c r="L165" s="51"/>
    </row>
    <row r="166" spans="1:12">
      <c r="A166" s="139"/>
      <c r="B166" s="45">
        <v>5.5</v>
      </c>
      <c r="C166" s="46"/>
      <c r="D166" s="47">
        <v>0</v>
      </c>
      <c r="E166" s="48"/>
      <c r="F166" s="48"/>
      <c r="G166" s="46"/>
      <c r="H166" s="46"/>
      <c r="I166" s="46"/>
      <c r="J166" s="51"/>
      <c r="K166" s="51"/>
      <c r="L166" s="51"/>
    </row>
    <row r="167" spans="1:12">
      <c r="A167" s="139"/>
      <c r="B167" s="45">
        <v>5.6</v>
      </c>
      <c r="C167" s="46"/>
      <c r="D167" s="47">
        <v>0</v>
      </c>
      <c r="E167" s="48"/>
      <c r="F167" s="48"/>
      <c r="G167" s="46"/>
      <c r="H167" s="46"/>
      <c r="I167" s="46"/>
      <c r="J167" s="51"/>
      <c r="K167" s="51"/>
      <c r="L167" s="51"/>
    </row>
    <row r="168" spans="1:12">
      <c r="A168" s="139"/>
      <c r="B168" s="45">
        <v>5.7</v>
      </c>
      <c r="C168" s="46"/>
      <c r="D168" s="47">
        <v>0</v>
      </c>
      <c r="E168" s="48"/>
      <c r="F168" s="48"/>
      <c r="G168" s="46"/>
      <c r="H168" s="46"/>
      <c r="I168" s="46"/>
      <c r="J168" s="51"/>
      <c r="K168" s="51"/>
      <c r="L168" s="51"/>
    </row>
    <row r="169" spans="1:12">
      <c r="A169" s="139"/>
      <c r="B169" s="45">
        <v>5.8</v>
      </c>
      <c r="C169" s="46"/>
      <c r="D169" s="47">
        <v>0</v>
      </c>
      <c r="E169" s="48"/>
      <c r="F169" s="48"/>
      <c r="G169" s="46"/>
      <c r="H169" s="46"/>
      <c r="I169" s="46"/>
      <c r="J169" s="51"/>
      <c r="K169" s="51"/>
      <c r="L169" s="51"/>
    </row>
    <row r="170" spans="1:12">
      <c r="A170" s="139"/>
      <c r="B170" s="45">
        <v>5.9</v>
      </c>
      <c r="C170" s="46"/>
      <c r="D170" s="47">
        <v>0</v>
      </c>
      <c r="E170" s="48"/>
      <c r="F170" s="48"/>
      <c r="G170" s="46"/>
      <c r="H170" s="46"/>
      <c r="I170" s="46"/>
      <c r="J170" s="51"/>
      <c r="K170" s="51"/>
      <c r="L170" s="51"/>
    </row>
    <row r="171" spans="1:12">
      <c r="A171" s="140"/>
      <c r="B171" s="52">
        <v>5.0999999999999996</v>
      </c>
      <c r="C171" s="46"/>
      <c r="D171" s="47">
        <v>0</v>
      </c>
      <c r="E171" s="48"/>
      <c r="F171" s="48"/>
      <c r="G171" s="46"/>
      <c r="H171" s="46"/>
      <c r="I171" s="46"/>
      <c r="J171" s="51"/>
      <c r="K171" s="51"/>
      <c r="L171" s="51"/>
    </row>
    <row r="172" spans="1:12">
      <c r="A172" s="130" t="s">
        <v>64</v>
      </c>
      <c r="B172" s="131"/>
      <c r="C172" s="132"/>
      <c r="D172" s="65">
        <f>SUM(D117+D128+D139+D150+D161)</f>
        <v>0</v>
      </c>
      <c r="E172" s="65"/>
      <c r="F172" s="56"/>
      <c r="G172" s="133"/>
      <c r="H172" s="134"/>
      <c r="I172" s="134"/>
      <c r="J172" s="134"/>
      <c r="K172" s="134"/>
      <c r="L172" s="134"/>
    </row>
    <row r="173" spans="1:12" ht="75.400000000000006">
      <c r="A173" s="73" t="s">
        <v>65</v>
      </c>
      <c r="B173" s="74"/>
      <c r="C173" s="75" t="s">
        <v>66</v>
      </c>
      <c r="D173" s="76">
        <f>SUM(D60+D116+D172)</f>
        <v>0</v>
      </c>
      <c r="E173" s="76"/>
      <c r="F173" s="110"/>
      <c r="G173" s="128"/>
      <c r="H173" s="129"/>
      <c r="I173" s="129"/>
      <c r="J173" s="129"/>
      <c r="K173" s="129"/>
      <c r="L173" s="129"/>
    </row>
  </sheetData>
  <mergeCells count="11">
    <mergeCell ref="A5:A59"/>
    <mergeCell ref="A1:D1"/>
    <mergeCell ref="G173:L173"/>
    <mergeCell ref="A60:C60"/>
    <mergeCell ref="G60:L60"/>
    <mergeCell ref="A61:A115"/>
    <mergeCell ref="A116:C116"/>
    <mergeCell ref="G116:L116"/>
    <mergeCell ref="A117:A171"/>
    <mergeCell ref="A172:C172"/>
    <mergeCell ref="G172:L172"/>
  </mergeCells>
  <pageMargins left="0.7" right="0.7" top="0.75" bottom="0.75" header="0.3" footer="0.3"/>
  <pageSetup paperSize="5" scale="27" fitToHeight="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0BF9-7D9B-4AE8-9E24-A736D652F1E4}">
  <dimension ref="A1:K100"/>
  <sheetViews>
    <sheetView workbookViewId="0">
      <selection activeCell="B13" sqref="B13"/>
    </sheetView>
  </sheetViews>
  <sheetFormatPr defaultColWidth="9" defaultRowHeight="13.9"/>
  <cols>
    <col min="1" max="2" width="26.140625" style="7" customWidth="1"/>
    <col min="3" max="3" width="16.7109375" style="7" customWidth="1"/>
    <col min="4" max="4" width="11.140625" style="7" customWidth="1"/>
    <col min="5" max="5" width="23.7109375" style="7" customWidth="1"/>
    <col min="6" max="6" width="9" style="7"/>
    <col min="7" max="7" width="11.140625" style="7" customWidth="1"/>
    <col min="8" max="8" width="23.7109375" style="7" customWidth="1"/>
    <col min="9" max="9" width="9" style="7"/>
    <col min="10" max="10" width="11.140625" style="7" customWidth="1"/>
    <col min="11" max="11" width="23.7109375" style="7" customWidth="1"/>
    <col min="12" max="16384" width="9" style="7"/>
  </cols>
  <sheetData>
    <row r="1" spans="1:11" ht="15" customHeight="1">
      <c r="A1" s="145" t="s">
        <v>67</v>
      </c>
      <c r="B1" s="145"/>
      <c r="C1" s="145"/>
      <c r="D1" s="145"/>
      <c r="E1" s="145"/>
      <c r="F1" s="82"/>
    </row>
    <row r="2" spans="1:11">
      <c r="A2" s="145"/>
      <c r="B2" s="145"/>
      <c r="C2" s="145"/>
      <c r="D2" s="145"/>
      <c r="E2" s="145"/>
      <c r="F2" s="82"/>
    </row>
    <row r="3" spans="1:11">
      <c r="A3" s="145"/>
      <c r="B3" s="145"/>
      <c r="C3" s="145"/>
      <c r="D3" s="145"/>
      <c r="E3" s="145"/>
      <c r="F3" s="82"/>
    </row>
    <row r="4" spans="1:11" ht="15" customHeight="1">
      <c r="A4" s="146" t="s">
        <v>68</v>
      </c>
      <c r="B4" s="146"/>
      <c r="C4" s="146"/>
      <c r="D4" s="146"/>
      <c r="E4" s="146"/>
      <c r="F4" s="83"/>
    </row>
    <row r="5" spans="1:11">
      <c r="A5" s="147"/>
      <c r="B5" s="147"/>
      <c r="C5" s="147"/>
      <c r="D5" s="147"/>
      <c r="E5" s="147"/>
      <c r="F5" s="83"/>
    </row>
    <row r="6" spans="1:11" ht="17.649999999999999">
      <c r="A6" s="150"/>
      <c r="B6" s="151"/>
      <c r="C6" s="152"/>
      <c r="D6" s="148" t="s">
        <v>69</v>
      </c>
      <c r="E6" s="148"/>
      <c r="F6" s="84"/>
      <c r="G6" s="149" t="s">
        <v>70</v>
      </c>
      <c r="H6" s="149"/>
      <c r="I6" s="84"/>
      <c r="J6" s="141" t="s">
        <v>71</v>
      </c>
      <c r="K6" s="141"/>
    </row>
    <row r="7" spans="1:11" ht="18.75" customHeight="1">
      <c r="A7" s="153"/>
      <c r="B7" s="154"/>
      <c r="C7" s="155"/>
      <c r="D7" s="142" t="s">
        <v>72</v>
      </c>
      <c r="E7" s="142"/>
      <c r="F7" s="84"/>
      <c r="G7" s="143" t="s">
        <v>73</v>
      </c>
      <c r="H7" s="143"/>
      <c r="I7" s="84"/>
      <c r="J7" s="144" t="s">
        <v>74</v>
      </c>
      <c r="K7" s="144"/>
    </row>
    <row r="8" spans="1:11" ht="50.25" customHeight="1">
      <c r="A8" s="85" t="s">
        <v>75</v>
      </c>
      <c r="B8" s="85" t="s">
        <v>76</v>
      </c>
      <c r="C8" s="85" t="s">
        <v>77</v>
      </c>
      <c r="D8" s="112" t="s">
        <v>78</v>
      </c>
      <c r="E8" s="112" t="s">
        <v>79</v>
      </c>
      <c r="F8" s="86"/>
      <c r="G8" s="112" t="s">
        <v>78</v>
      </c>
      <c r="H8" s="112" t="s">
        <v>79</v>
      </c>
      <c r="I8" s="86"/>
      <c r="J8" s="112" t="s">
        <v>78</v>
      </c>
      <c r="K8" s="112" t="s">
        <v>79</v>
      </c>
    </row>
    <row r="9" spans="1:11">
      <c r="A9" s="87"/>
      <c r="B9" s="87"/>
      <c r="C9" s="87"/>
      <c r="D9" s="88"/>
      <c r="E9" s="89"/>
      <c r="F9" s="90"/>
      <c r="G9" s="88"/>
      <c r="H9" s="89"/>
      <c r="I9" s="90"/>
      <c r="J9" s="88"/>
      <c r="K9" s="89"/>
    </row>
    <row r="10" spans="1:11">
      <c r="A10" s="91"/>
      <c r="B10" s="91"/>
      <c r="C10" s="87"/>
      <c r="D10" s="88"/>
      <c r="E10" s="89"/>
      <c r="F10" s="90"/>
      <c r="G10" s="88"/>
      <c r="H10" s="89"/>
      <c r="I10" s="90"/>
      <c r="J10" s="88"/>
      <c r="K10" s="89"/>
    </row>
    <row r="11" spans="1:11">
      <c r="A11" s="91"/>
      <c r="B11" s="91"/>
      <c r="C11" s="87"/>
      <c r="D11" s="88"/>
      <c r="E11" s="89"/>
      <c r="F11" s="90"/>
      <c r="G11" s="88"/>
      <c r="H11" s="89"/>
      <c r="I11" s="90"/>
      <c r="J11" s="88"/>
      <c r="K11" s="89"/>
    </row>
    <row r="12" spans="1:11">
      <c r="A12" s="91"/>
      <c r="B12" s="91"/>
      <c r="C12" s="87"/>
      <c r="D12" s="88"/>
      <c r="E12" s="89"/>
      <c r="F12" s="90"/>
      <c r="G12" s="88"/>
      <c r="H12" s="89"/>
      <c r="I12" s="90"/>
      <c r="J12" s="88"/>
      <c r="K12" s="89"/>
    </row>
    <row r="13" spans="1:11">
      <c r="A13" s="91"/>
      <c r="B13" s="91"/>
      <c r="C13" s="87"/>
      <c r="D13" s="88"/>
      <c r="E13" s="89"/>
      <c r="F13" s="90"/>
      <c r="G13" s="88"/>
      <c r="H13" s="89"/>
      <c r="I13" s="90"/>
      <c r="J13" s="88"/>
      <c r="K13" s="89"/>
    </row>
    <row r="14" spans="1:11">
      <c r="A14" s="91"/>
      <c r="B14" s="91"/>
      <c r="C14" s="87"/>
      <c r="D14" s="88"/>
      <c r="E14" s="89"/>
      <c r="F14" s="90"/>
      <c r="G14" s="88"/>
      <c r="H14" s="89"/>
      <c r="I14" s="90"/>
      <c r="J14" s="88"/>
      <c r="K14" s="89"/>
    </row>
    <row r="15" spans="1:11">
      <c r="A15" s="91"/>
      <c r="B15" s="91"/>
      <c r="C15" s="87"/>
      <c r="D15" s="88"/>
      <c r="E15" s="89"/>
      <c r="F15" s="90"/>
      <c r="G15" s="88"/>
      <c r="H15" s="89"/>
      <c r="I15" s="90"/>
      <c r="J15" s="88"/>
      <c r="K15" s="89"/>
    </row>
    <row r="16" spans="1:11">
      <c r="A16" s="91"/>
      <c r="B16" s="91"/>
      <c r="C16" s="87"/>
      <c r="D16" s="88"/>
      <c r="E16" s="89"/>
      <c r="F16" s="90"/>
      <c r="G16" s="88"/>
      <c r="H16" s="89"/>
      <c r="I16" s="90"/>
      <c r="J16" s="88"/>
      <c r="K16" s="89"/>
    </row>
    <row r="17" spans="1:11">
      <c r="A17" s="91"/>
      <c r="B17" s="91"/>
      <c r="C17" s="87"/>
      <c r="D17" s="88"/>
      <c r="E17" s="89"/>
      <c r="F17" s="90"/>
      <c r="G17" s="88"/>
      <c r="H17" s="89"/>
      <c r="I17" s="90"/>
      <c r="J17" s="88"/>
      <c r="K17" s="89"/>
    </row>
    <row r="18" spans="1:11">
      <c r="A18" s="91"/>
      <c r="B18" s="91"/>
      <c r="C18" s="87"/>
      <c r="D18" s="88"/>
      <c r="E18" s="89"/>
      <c r="F18" s="90"/>
      <c r="G18" s="88"/>
      <c r="H18" s="89"/>
      <c r="I18" s="90"/>
      <c r="J18" s="88"/>
      <c r="K18" s="89"/>
    </row>
    <row r="19" spans="1:11">
      <c r="A19" s="91"/>
      <c r="B19" s="91"/>
      <c r="C19" s="87"/>
      <c r="D19" s="88"/>
      <c r="E19" s="89"/>
      <c r="F19" s="90"/>
      <c r="G19" s="88"/>
      <c r="H19" s="89"/>
      <c r="I19" s="90"/>
      <c r="J19" s="88"/>
      <c r="K19" s="89"/>
    </row>
    <row r="20" spans="1:11">
      <c r="A20" s="91"/>
      <c r="B20" s="91"/>
      <c r="C20" s="87"/>
      <c r="D20" s="88"/>
      <c r="E20" s="89"/>
      <c r="F20" s="90"/>
      <c r="G20" s="88"/>
      <c r="H20" s="89"/>
      <c r="I20" s="90"/>
      <c r="J20" s="88"/>
      <c r="K20" s="89"/>
    </row>
    <row r="21" spans="1:11">
      <c r="A21" s="91"/>
      <c r="B21" s="91"/>
      <c r="C21" s="87"/>
      <c r="D21" s="88"/>
      <c r="E21" s="89"/>
      <c r="F21" s="90"/>
      <c r="G21" s="88"/>
      <c r="H21" s="89"/>
      <c r="I21" s="90"/>
      <c r="J21" s="88"/>
      <c r="K21" s="89"/>
    </row>
    <row r="22" spans="1:11">
      <c r="A22" s="91"/>
      <c r="B22" s="91"/>
      <c r="C22" s="87"/>
      <c r="D22" s="88"/>
      <c r="E22" s="89"/>
      <c r="F22" s="90"/>
      <c r="G22" s="88"/>
      <c r="H22" s="89"/>
      <c r="I22" s="90"/>
      <c r="J22" s="88"/>
      <c r="K22" s="89"/>
    </row>
    <row r="23" spans="1:11">
      <c r="A23" s="91"/>
      <c r="B23" s="91"/>
      <c r="C23" s="87"/>
      <c r="D23" s="88"/>
      <c r="E23" s="89"/>
      <c r="F23" s="90"/>
      <c r="G23" s="88"/>
      <c r="H23" s="89"/>
      <c r="I23" s="90"/>
      <c r="J23" s="88"/>
      <c r="K23" s="89"/>
    </row>
    <row r="24" spans="1:11">
      <c r="A24" s="91"/>
      <c r="B24" s="91"/>
      <c r="C24" s="87"/>
      <c r="D24" s="88"/>
      <c r="E24" s="89"/>
      <c r="F24" s="90"/>
      <c r="G24" s="88"/>
      <c r="H24" s="89"/>
      <c r="I24" s="90"/>
      <c r="J24" s="88"/>
      <c r="K24" s="89"/>
    </row>
    <row r="25" spans="1:11">
      <c r="A25" s="91"/>
      <c r="B25" s="91"/>
      <c r="C25" s="87"/>
      <c r="D25" s="88"/>
      <c r="E25" s="89"/>
      <c r="F25" s="90"/>
      <c r="G25" s="88"/>
      <c r="H25" s="89"/>
      <c r="I25" s="90"/>
      <c r="J25" s="88"/>
      <c r="K25" s="89"/>
    </row>
    <row r="26" spans="1:11">
      <c r="A26" s="91"/>
      <c r="B26" s="91"/>
      <c r="C26" s="87"/>
      <c r="D26" s="88"/>
      <c r="E26" s="89"/>
      <c r="F26" s="90"/>
      <c r="G26" s="88"/>
      <c r="H26" s="89"/>
      <c r="I26" s="90"/>
      <c r="J26" s="88"/>
      <c r="K26" s="89"/>
    </row>
    <row r="27" spans="1:11">
      <c r="A27" s="91"/>
      <c r="B27" s="91"/>
      <c r="C27" s="87"/>
      <c r="D27" s="88"/>
      <c r="E27" s="89"/>
      <c r="F27" s="90"/>
      <c r="G27" s="88"/>
      <c r="H27" s="89"/>
      <c r="I27" s="90"/>
      <c r="J27" s="88"/>
      <c r="K27" s="89"/>
    </row>
    <row r="28" spans="1:11">
      <c r="A28" s="91"/>
      <c r="B28" s="91"/>
      <c r="C28" s="87"/>
      <c r="D28" s="88"/>
      <c r="E28" s="89"/>
      <c r="F28" s="90"/>
      <c r="G28" s="88"/>
      <c r="H28" s="89"/>
      <c r="I28" s="90"/>
      <c r="J28" s="88"/>
      <c r="K28" s="89"/>
    </row>
    <row r="29" spans="1:11">
      <c r="A29" s="91"/>
      <c r="B29" s="91"/>
      <c r="C29" s="87"/>
      <c r="D29" s="88"/>
      <c r="E29" s="89"/>
      <c r="F29" s="90"/>
      <c r="G29" s="88"/>
      <c r="H29" s="89"/>
      <c r="I29" s="90"/>
      <c r="J29" s="88"/>
      <c r="K29" s="89"/>
    </row>
    <row r="30" spans="1:11">
      <c r="A30" s="91"/>
      <c r="B30" s="91"/>
      <c r="C30" s="87"/>
      <c r="D30" s="88"/>
      <c r="E30" s="89"/>
      <c r="F30" s="90"/>
      <c r="G30" s="88"/>
      <c r="H30" s="89"/>
      <c r="I30" s="90"/>
      <c r="J30" s="88"/>
      <c r="K30" s="89"/>
    </row>
    <row r="31" spans="1:11">
      <c r="A31" s="91"/>
      <c r="B31" s="91"/>
      <c r="C31" s="87"/>
      <c r="D31" s="88"/>
      <c r="E31" s="89"/>
      <c r="F31" s="90"/>
      <c r="G31" s="88"/>
      <c r="H31" s="89"/>
      <c r="I31" s="90"/>
      <c r="J31" s="88"/>
      <c r="K31" s="89"/>
    </row>
    <row r="32" spans="1:11">
      <c r="A32" s="91"/>
      <c r="B32" s="91"/>
      <c r="C32" s="87"/>
      <c r="D32" s="88"/>
      <c r="E32" s="89"/>
      <c r="F32" s="90"/>
      <c r="G32" s="88"/>
      <c r="H32" s="89"/>
      <c r="I32" s="90"/>
      <c r="J32" s="88"/>
      <c r="K32" s="89"/>
    </row>
    <row r="33" spans="1:11">
      <c r="A33" s="91"/>
      <c r="B33" s="91"/>
      <c r="C33" s="87"/>
      <c r="D33" s="88"/>
      <c r="E33" s="89"/>
      <c r="F33" s="90"/>
      <c r="G33" s="88"/>
      <c r="H33" s="89"/>
      <c r="I33" s="90"/>
      <c r="J33" s="88"/>
      <c r="K33" s="89"/>
    </row>
    <row r="34" spans="1:11">
      <c r="A34" s="91"/>
      <c r="B34" s="91"/>
      <c r="C34" s="87"/>
      <c r="D34" s="88"/>
      <c r="E34" s="89"/>
      <c r="F34" s="90"/>
      <c r="G34" s="88"/>
      <c r="H34" s="89"/>
      <c r="I34" s="90"/>
      <c r="J34" s="88"/>
      <c r="K34" s="89"/>
    </row>
    <row r="35" spans="1:11">
      <c r="A35" s="91"/>
      <c r="B35" s="91"/>
      <c r="C35" s="87"/>
      <c r="D35" s="88"/>
      <c r="E35" s="89"/>
      <c r="F35" s="90"/>
      <c r="G35" s="88"/>
      <c r="H35" s="89"/>
      <c r="I35" s="90"/>
      <c r="J35" s="88"/>
      <c r="K35" s="89"/>
    </row>
    <row r="36" spans="1:11">
      <c r="A36" s="91"/>
      <c r="B36" s="91"/>
      <c r="C36" s="87"/>
      <c r="D36" s="88"/>
      <c r="E36" s="89"/>
      <c r="F36" s="90"/>
      <c r="G36" s="88"/>
      <c r="H36" s="89"/>
      <c r="I36" s="90"/>
      <c r="J36" s="88"/>
      <c r="K36" s="89"/>
    </row>
    <row r="37" spans="1:11">
      <c r="A37" s="91"/>
      <c r="B37" s="91"/>
      <c r="C37" s="87"/>
      <c r="D37" s="88"/>
      <c r="E37" s="89"/>
      <c r="F37" s="90"/>
      <c r="G37" s="88"/>
      <c r="H37" s="89"/>
      <c r="I37" s="90"/>
      <c r="J37" s="88"/>
      <c r="K37" s="89"/>
    </row>
    <row r="38" spans="1:11">
      <c r="A38" s="91"/>
      <c r="B38" s="91"/>
      <c r="C38" s="87"/>
      <c r="D38" s="88"/>
      <c r="E38" s="89"/>
      <c r="F38" s="90"/>
      <c r="G38" s="88"/>
      <c r="H38" s="89"/>
      <c r="I38" s="90"/>
      <c r="J38" s="88"/>
      <c r="K38" s="89"/>
    </row>
    <row r="39" spans="1:11">
      <c r="A39" s="91"/>
      <c r="B39" s="91"/>
      <c r="C39" s="87"/>
      <c r="D39" s="88"/>
      <c r="E39" s="89"/>
      <c r="F39" s="90"/>
      <c r="G39" s="88"/>
      <c r="H39" s="89"/>
      <c r="I39" s="90"/>
      <c r="J39" s="88"/>
      <c r="K39" s="89"/>
    </row>
    <row r="40" spans="1:11">
      <c r="A40" s="91"/>
      <c r="B40" s="91"/>
      <c r="C40" s="87"/>
      <c r="D40" s="88"/>
      <c r="E40" s="89"/>
      <c r="F40" s="90"/>
      <c r="G40" s="88"/>
      <c r="H40" s="89"/>
      <c r="I40" s="90"/>
      <c r="J40" s="88"/>
      <c r="K40" s="89"/>
    </row>
    <row r="41" spans="1:11">
      <c r="A41" s="91"/>
      <c r="B41" s="91"/>
      <c r="C41" s="87"/>
      <c r="D41" s="88"/>
      <c r="E41" s="89"/>
      <c r="F41" s="90"/>
      <c r="G41" s="88"/>
      <c r="H41" s="89"/>
      <c r="I41" s="90"/>
      <c r="J41" s="88"/>
      <c r="K41" s="89"/>
    </row>
    <row r="42" spans="1:11">
      <c r="A42" s="91"/>
      <c r="B42" s="91"/>
      <c r="C42" s="87"/>
      <c r="D42" s="88"/>
      <c r="E42" s="89"/>
      <c r="F42" s="90"/>
      <c r="G42" s="88"/>
      <c r="H42" s="89"/>
      <c r="I42" s="90"/>
      <c r="J42" s="88"/>
      <c r="K42" s="89"/>
    </row>
    <row r="43" spans="1:11">
      <c r="A43" s="91"/>
      <c r="B43" s="91"/>
      <c r="C43" s="87"/>
      <c r="D43" s="88"/>
      <c r="E43" s="89"/>
      <c r="F43" s="90"/>
      <c r="G43" s="88"/>
      <c r="H43" s="89"/>
      <c r="I43" s="90"/>
      <c r="J43" s="88"/>
      <c r="K43" s="89"/>
    </row>
    <row r="44" spans="1:11">
      <c r="A44" s="91"/>
      <c r="B44" s="91"/>
      <c r="C44" s="87"/>
      <c r="D44" s="88"/>
      <c r="E44" s="89"/>
      <c r="F44" s="90"/>
      <c r="G44" s="88"/>
      <c r="H44" s="89"/>
      <c r="I44" s="90"/>
      <c r="J44" s="88"/>
      <c r="K44" s="89"/>
    </row>
    <row r="45" spans="1:11">
      <c r="A45" s="91"/>
      <c r="B45" s="91"/>
      <c r="C45" s="87"/>
      <c r="D45" s="88"/>
      <c r="E45" s="89"/>
      <c r="F45" s="90"/>
      <c r="G45" s="88"/>
      <c r="H45" s="89"/>
      <c r="I45" s="90"/>
      <c r="J45" s="88"/>
      <c r="K45" s="89"/>
    </row>
    <row r="46" spans="1:11">
      <c r="A46" s="91"/>
      <c r="B46" s="91"/>
      <c r="C46" s="87"/>
      <c r="D46" s="88"/>
      <c r="E46" s="89"/>
      <c r="F46" s="90"/>
      <c r="G46" s="88"/>
      <c r="H46" s="89"/>
      <c r="I46" s="90"/>
      <c r="J46" s="88"/>
      <c r="K46" s="89"/>
    </row>
    <row r="47" spans="1:11">
      <c r="A47" s="91"/>
      <c r="B47" s="91"/>
      <c r="C47" s="87"/>
      <c r="D47" s="88"/>
      <c r="E47" s="89"/>
      <c r="F47" s="90"/>
      <c r="G47" s="88"/>
      <c r="H47" s="89"/>
      <c r="I47" s="90"/>
      <c r="J47" s="88"/>
      <c r="K47" s="89"/>
    </row>
    <row r="48" spans="1:11">
      <c r="A48" s="91"/>
      <c r="B48" s="91"/>
      <c r="C48" s="87"/>
      <c r="D48" s="88"/>
      <c r="E48" s="89"/>
      <c r="F48" s="90"/>
      <c r="G48" s="88"/>
      <c r="H48" s="89"/>
      <c r="I48" s="90"/>
      <c r="J48" s="88"/>
      <c r="K48" s="89"/>
    </row>
    <row r="49" spans="1:11">
      <c r="A49" s="91"/>
      <c r="B49" s="91"/>
      <c r="C49" s="87"/>
      <c r="D49" s="88"/>
      <c r="E49" s="89"/>
      <c r="F49" s="90"/>
      <c r="G49" s="88"/>
      <c r="H49" s="89"/>
      <c r="I49" s="90"/>
      <c r="J49" s="88"/>
      <c r="K49" s="89"/>
    </row>
    <row r="50" spans="1:11">
      <c r="A50" s="91"/>
      <c r="B50" s="91"/>
      <c r="C50" s="87"/>
      <c r="D50" s="88"/>
      <c r="E50" s="89"/>
      <c r="F50" s="90"/>
      <c r="G50" s="88"/>
      <c r="H50" s="89"/>
      <c r="I50" s="90"/>
      <c r="J50" s="88"/>
      <c r="K50" s="89"/>
    </row>
    <row r="51" spans="1:11">
      <c r="A51" s="91"/>
      <c r="B51" s="91"/>
      <c r="C51" s="87"/>
      <c r="D51" s="88"/>
      <c r="E51" s="89"/>
      <c r="F51" s="90"/>
      <c r="G51" s="88"/>
      <c r="H51" s="89"/>
      <c r="I51" s="90"/>
      <c r="J51" s="88"/>
      <c r="K51" s="89"/>
    </row>
    <row r="52" spans="1:11">
      <c r="A52" s="91"/>
      <c r="B52" s="91"/>
      <c r="C52" s="87"/>
      <c r="D52" s="88"/>
      <c r="E52" s="89"/>
      <c r="F52" s="90"/>
      <c r="G52" s="88"/>
      <c r="H52" s="89"/>
      <c r="I52" s="90"/>
      <c r="J52" s="88"/>
      <c r="K52" s="89"/>
    </row>
    <row r="53" spans="1:11">
      <c r="A53" s="91"/>
      <c r="B53" s="91"/>
      <c r="C53" s="87"/>
      <c r="D53" s="88"/>
      <c r="E53" s="89"/>
      <c r="F53" s="90"/>
      <c r="G53" s="88"/>
      <c r="H53" s="89"/>
      <c r="I53" s="90"/>
      <c r="J53" s="88"/>
      <c r="K53" s="89"/>
    </row>
    <row r="54" spans="1:11">
      <c r="A54" s="91"/>
      <c r="B54" s="91"/>
      <c r="C54" s="87"/>
      <c r="D54" s="88"/>
      <c r="E54" s="89"/>
      <c r="F54" s="90"/>
      <c r="G54" s="88"/>
      <c r="H54" s="89"/>
      <c r="I54" s="90"/>
      <c r="J54" s="88"/>
      <c r="K54" s="89"/>
    </row>
    <row r="55" spans="1:11">
      <c r="A55" s="91"/>
      <c r="B55" s="91"/>
      <c r="C55" s="87"/>
      <c r="D55" s="88"/>
      <c r="E55" s="89"/>
      <c r="F55" s="90"/>
      <c r="G55" s="88"/>
      <c r="H55" s="89"/>
      <c r="I55" s="90"/>
      <c r="J55" s="88"/>
      <c r="K55" s="89"/>
    </row>
    <row r="56" spans="1:11">
      <c r="A56" s="91"/>
      <c r="B56" s="91"/>
      <c r="C56" s="87"/>
      <c r="D56" s="88"/>
      <c r="E56" s="89"/>
      <c r="F56" s="90"/>
      <c r="G56" s="88"/>
      <c r="H56" s="89"/>
      <c r="I56" s="90"/>
      <c r="J56" s="88"/>
      <c r="K56" s="89"/>
    </row>
    <row r="57" spans="1:11">
      <c r="A57" s="91"/>
      <c r="B57" s="91"/>
      <c r="C57" s="87"/>
      <c r="D57" s="88"/>
      <c r="E57" s="89"/>
      <c r="F57" s="90"/>
      <c r="G57" s="88"/>
      <c r="H57" s="89"/>
      <c r="I57" s="90"/>
      <c r="J57" s="88"/>
      <c r="K57" s="89"/>
    </row>
    <row r="58" spans="1:11">
      <c r="A58" s="91"/>
      <c r="B58" s="91"/>
      <c r="C58" s="87"/>
      <c r="D58" s="88"/>
      <c r="E58" s="89"/>
      <c r="F58" s="90"/>
      <c r="G58" s="88"/>
      <c r="H58" s="89"/>
      <c r="I58" s="90"/>
      <c r="J58" s="88"/>
      <c r="K58" s="89"/>
    </row>
    <row r="59" spans="1:11">
      <c r="A59" s="91"/>
      <c r="B59" s="91"/>
      <c r="C59" s="87"/>
      <c r="D59" s="88"/>
      <c r="E59" s="89"/>
      <c r="F59" s="90"/>
      <c r="G59" s="88"/>
      <c r="H59" s="89"/>
      <c r="I59" s="90"/>
      <c r="J59" s="88"/>
      <c r="K59" s="89"/>
    </row>
    <row r="60" spans="1:11">
      <c r="A60" s="91"/>
      <c r="B60" s="91"/>
      <c r="C60" s="87"/>
      <c r="D60" s="88"/>
      <c r="E60" s="89"/>
      <c r="F60" s="90"/>
      <c r="G60" s="88"/>
      <c r="H60" s="89"/>
      <c r="I60" s="90"/>
      <c r="J60" s="88"/>
      <c r="K60" s="89"/>
    </row>
    <row r="61" spans="1:11">
      <c r="A61" s="91"/>
      <c r="B61" s="91"/>
      <c r="C61" s="87"/>
      <c r="D61" s="88"/>
      <c r="E61" s="89"/>
      <c r="F61" s="90"/>
      <c r="G61" s="88"/>
      <c r="H61" s="89"/>
      <c r="I61" s="90"/>
      <c r="J61" s="88"/>
      <c r="K61" s="89"/>
    </row>
    <row r="62" spans="1:11">
      <c r="A62" s="91"/>
      <c r="B62" s="91"/>
      <c r="C62" s="87"/>
      <c r="D62" s="88"/>
      <c r="E62" s="89"/>
      <c r="F62" s="90"/>
      <c r="G62" s="88"/>
      <c r="H62" s="89"/>
      <c r="I62" s="90"/>
      <c r="J62" s="88"/>
      <c r="K62" s="89"/>
    </row>
    <row r="63" spans="1:11">
      <c r="A63" s="91"/>
      <c r="B63" s="91"/>
      <c r="C63" s="87"/>
      <c r="D63" s="88"/>
      <c r="E63" s="89"/>
      <c r="F63" s="90"/>
      <c r="G63" s="88"/>
      <c r="H63" s="89"/>
      <c r="I63" s="90"/>
      <c r="J63" s="88"/>
      <c r="K63" s="89"/>
    </row>
    <row r="64" spans="1:11">
      <c r="A64" s="91"/>
      <c r="B64" s="91"/>
      <c r="C64" s="87"/>
      <c r="D64" s="88"/>
      <c r="E64" s="89"/>
      <c r="F64" s="90"/>
      <c r="G64" s="88"/>
      <c r="H64" s="89"/>
      <c r="I64" s="90"/>
      <c r="J64" s="88"/>
      <c r="K64" s="89"/>
    </row>
    <row r="65" spans="1:11">
      <c r="A65" s="91"/>
      <c r="B65" s="91"/>
      <c r="C65" s="87"/>
      <c r="D65" s="88"/>
      <c r="E65" s="89"/>
      <c r="F65" s="90"/>
      <c r="G65" s="88"/>
      <c r="H65" s="89"/>
      <c r="I65" s="90"/>
      <c r="J65" s="88"/>
      <c r="K65" s="89"/>
    </row>
    <row r="66" spans="1:11">
      <c r="A66" s="91"/>
      <c r="B66" s="91"/>
      <c r="C66" s="87"/>
      <c r="D66" s="88"/>
      <c r="E66" s="89"/>
      <c r="F66" s="90"/>
      <c r="G66" s="88"/>
      <c r="H66" s="89"/>
      <c r="I66" s="90"/>
      <c r="J66" s="88"/>
      <c r="K66" s="89"/>
    </row>
    <row r="67" spans="1:11">
      <c r="A67" s="91"/>
      <c r="B67" s="91"/>
      <c r="C67" s="87"/>
      <c r="D67" s="88"/>
      <c r="E67" s="89"/>
      <c r="F67" s="90"/>
      <c r="G67" s="88"/>
      <c r="H67" s="89"/>
      <c r="I67" s="90"/>
      <c r="J67" s="88"/>
      <c r="K67" s="89"/>
    </row>
    <row r="68" spans="1:11">
      <c r="A68" s="91"/>
      <c r="B68" s="91"/>
      <c r="C68" s="87"/>
      <c r="D68" s="88"/>
      <c r="E68" s="89"/>
      <c r="F68" s="90"/>
      <c r="G68" s="88"/>
      <c r="H68" s="89"/>
      <c r="I68" s="90"/>
      <c r="J68" s="88"/>
      <c r="K68" s="89"/>
    </row>
    <row r="69" spans="1:11">
      <c r="A69" s="91"/>
      <c r="B69" s="91"/>
      <c r="C69" s="87"/>
      <c r="D69" s="88"/>
      <c r="E69" s="89"/>
      <c r="F69" s="90"/>
      <c r="G69" s="88"/>
      <c r="H69" s="89"/>
      <c r="I69" s="90"/>
      <c r="J69" s="88"/>
      <c r="K69" s="89"/>
    </row>
    <row r="70" spans="1:11">
      <c r="A70" s="91"/>
      <c r="B70" s="91"/>
      <c r="C70" s="87"/>
      <c r="D70" s="88"/>
      <c r="E70" s="89"/>
      <c r="F70" s="90"/>
      <c r="G70" s="88"/>
      <c r="H70" s="89"/>
      <c r="I70" s="90"/>
      <c r="J70" s="88"/>
      <c r="K70" s="89"/>
    </row>
    <row r="71" spans="1:11">
      <c r="A71" s="91"/>
      <c r="B71" s="91"/>
      <c r="C71" s="87"/>
      <c r="D71" s="88"/>
      <c r="E71" s="89"/>
      <c r="F71" s="90"/>
      <c r="G71" s="88"/>
      <c r="H71" s="89"/>
      <c r="I71" s="90"/>
      <c r="J71" s="88"/>
      <c r="K71" s="89"/>
    </row>
    <row r="72" spans="1:11">
      <c r="A72" s="91"/>
      <c r="B72" s="91"/>
      <c r="C72" s="87"/>
      <c r="D72" s="88"/>
      <c r="E72" s="89"/>
      <c r="F72" s="90"/>
      <c r="G72" s="88"/>
      <c r="H72" s="89"/>
      <c r="I72" s="90"/>
      <c r="J72" s="88"/>
      <c r="K72" s="89"/>
    </row>
    <row r="73" spans="1:11">
      <c r="A73" s="91"/>
      <c r="B73" s="91"/>
      <c r="C73" s="87"/>
      <c r="D73" s="88"/>
      <c r="E73" s="89"/>
      <c r="F73" s="90"/>
      <c r="G73" s="88"/>
      <c r="H73" s="89"/>
      <c r="I73" s="90"/>
      <c r="J73" s="88"/>
      <c r="K73" s="89"/>
    </row>
    <row r="74" spans="1:11">
      <c r="A74" s="91"/>
      <c r="B74" s="91"/>
      <c r="C74" s="87"/>
      <c r="D74" s="88"/>
      <c r="E74" s="89"/>
      <c r="F74" s="90"/>
      <c r="G74" s="88"/>
      <c r="H74" s="89"/>
      <c r="I74" s="90"/>
      <c r="J74" s="88"/>
      <c r="K74" s="89"/>
    </row>
    <row r="75" spans="1:11">
      <c r="A75" s="91"/>
      <c r="B75" s="91"/>
      <c r="C75" s="87"/>
      <c r="D75" s="88"/>
      <c r="E75" s="89"/>
      <c r="F75" s="90"/>
      <c r="G75" s="88"/>
      <c r="H75" s="89"/>
      <c r="I75" s="90"/>
      <c r="J75" s="88"/>
      <c r="K75" s="89"/>
    </row>
    <row r="76" spans="1:11">
      <c r="A76" s="91"/>
      <c r="B76" s="91"/>
      <c r="C76" s="87"/>
      <c r="D76" s="88"/>
      <c r="E76" s="89"/>
      <c r="F76" s="90"/>
      <c r="G76" s="88"/>
      <c r="H76" s="89"/>
      <c r="I76" s="90"/>
      <c r="J76" s="88"/>
      <c r="K76" s="89"/>
    </row>
    <row r="77" spans="1:11">
      <c r="A77" s="91"/>
      <c r="B77" s="91"/>
      <c r="C77" s="87"/>
      <c r="D77" s="88"/>
      <c r="E77" s="89"/>
      <c r="F77" s="90"/>
      <c r="G77" s="88"/>
      <c r="H77" s="89"/>
      <c r="I77" s="90"/>
      <c r="J77" s="88"/>
      <c r="K77" s="89"/>
    </row>
    <row r="78" spans="1:11">
      <c r="A78" s="91"/>
      <c r="B78" s="91"/>
      <c r="C78" s="87"/>
      <c r="D78" s="88"/>
      <c r="E78" s="89"/>
      <c r="F78" s="90"/>
      <c r="G78" s="88"/>
      <c r="H78" s="89"/>
      <c r="I78" s="90"/>
      <c r="J78" s="88"/>
      <c r="K78" s="89"/>
    </row>
    <row r="79" spans="1:11">
      <c r="A79" s="91"/>
      <c r="B79" s="91"/>
      <c r="C79" s="87"/>
      <c r="D79" s="88"/>
      <c r="E79" s="89"/>
      <c r="F79" s="90"/>
      <c r="G79" s="88"/>
      <c r="H79" s="89"/>
      <c r="I79" s="90"/>
      <c r="J79" s="88"/>
      <c r="K79" s="89"/>
    </row>
    <row r="80" spans="1:11">
      <c r="A80" s="91"/>
      <c r="B80" s="91"/>
      <c r="C80" s="87"/>
      <c r="D80" s="88"/>
      <c r="E80" s="89"/>
      <c r="F80" s="90"/>
      <c r="G80" s="88"/>
      <c r="H80" s="89"/>
      <c r="I80" s="90"/>
      <c r="J80" s="88"/>
      <c r="K80" s="89"/>
    </row>
    <row r="81" spans="1:11">
      <c r="A81" s="91"/>
      <c r="B81" s="91"/>
      <c r="C81" s="87"/>
      <c r="D81" s="88"/>
      <c r="E81" s="89"/>
      <c r="F81" s="90"/>
      <c r="G81" s="88"/>
      <c r="H81" s="89"/>
      <c r="I81" s="90"/>
      <c r="J81" s="88"/>
      <c r="K81" s="89"/>
    </row>
    <row r="82" spans="1:11">
      <c r="A82" s="91"/>
      <c r="B82" s="91"/>
      <c r="C82" s="87"/>
      <c r="D82" s="88"/>
      <c r="E82" s="89"/>
      <c r="F82" s="90"/>
      <c r="G82" s="88"/>
      <c r="H82" s="89"/>
      <c r="I82" s="90"/>
      <c r="J82" s="88"/>
      <c r="K82" s="89"/>
    </row>
    <row r="83" spans="1:11">
      <c r="A83" s="91"/>
      <c r="B83" s="91"/>
      <c r="C83" s="87"/>
      <c r="D83" s="88"/>
      <c r="E83" s="89"/>
      <c r="F83" s="90"/>
      <c r="G83" s="88"/>
      <c r="H83" s="89"/>
      <c r="I83" s="90"/>
      <c r="J83" s="88"/>
      <c r="K83" s="89"/>
    </row>
    <row r="84" spans="1:11">
      <c r="A84" s="91"/>
      <c r="B84" s="91"/>
      <c r="C84" s="87"/>
      <c r="D84" s="88"/>
      <c r="E84" s="89"/>
      <c r="F84" s="90"/>
      <c r="G84" s="88"/>
      <c r="H84" s="89"/>
      <c r="I84" s="90"/>
      <c r="J84" s="88"/>
      <c r="K84" s="89"/>
    </row>
    <row r="85" spans="1:11">
      <c r="A85" s="91"/>
      <c r="B85" s="91"/>
      <c r="C85" s="87"/>
      <c r="D85" s="88"/>
      <c r="E85" s="89"/>
      <c r="F85" s="90"/>
      <c r="G85" s="88"/>
      <c r="H85" s="89"/>
      <c r="I85" s="90"/>
      <c r="J85" s="88"/>
      <c r="K85" s="89"/>
    </row>
    <row r="86" spans="1:11">
      <c r="A86" s="91"/>
      <c r="B86" s="91"/>
      <c r="C86" s="87"/>
      <c r="D86" s="88"/>
      <c r="E86" s="89"/>
      <c r="F86" s="90"/>
      <c r="G86" s="88"/>
      <c r="H86" s="89"/>
      <c r="I86" s="90"/>
      <c r="J86" s="88"/>
      <c r="K86" s="89"/>
    </row>
    <row r="87" spans="1:11">
      <c r="A87" s="91"/>
      <c r="B87" s="91"/>
      <c r="C87" s="87"/>
      <c r="D87" s="88"/>
      <c r="E87" s="89"/>
      <c r="F87" s="90"/>
      <c r="G87" s="88"/>
      <c r="H87" s="89"/>
      <c r="I87" s="90"/>
      <c r="J87" s="88"/>
      <c r="K87" s="89"/>
    </row>
    <row r="88" spans="1:11">
      <c r="A88" s="91"/>
      <c r="B88" s="91"/>
      <c r="C88" s="87"/>
      <c r="D88" s="88"/>
      <c r="E88" s="89"/>
      <c r="F88" s="90"/>
      <c r="G88" s="88"/>
      <c r="H88" s="89"/>
      <c r="I88" s="90"/>
      <c r="J88" s="88"/>
      <c r="K88" s="89"/>
    </row>
    <row r="89" spans="1:11">
      <c r="A89" s="91"/>
      <c r="B89" s="91"/>
      <c r="C89" s="87"/>
      <c r="D89" s="88"/>
      <c r="E89" s="89"/>
      <c r="F89" s="90"/>
      <c r="G89" s="88"/>
      <c r="H89" s="89"/>
      <c r="I89" s="90"/>
      <c r="J89" s="88"/>
      <c r="K89" s="89"/>
    </row>
    <row r="90" spans="1:11">
      <c r="A90" s="91"/>
      <c r="B90" s="91"/>
      <c r="C90" s="87"/>
      <c r="D90" s="88"/>
      <c r="E90" s="89"/>
      <c r="F90" s="90"/>
      <c r="G90" s="88"/>
      <c r="H90" s="89"/>
      <c r="I90" s="90"/>
      <c r="J90" s="88"/>
      <c r="K90" s="89"/>
    </row>
    <row r="91" spans="1:11">
      <c r="A91" s="91"/>
      <c r="B91" s="91"/>
      <c r="C91" s="87"/>
      <c r="D91" s="88"/>
      <c r="E91" s="89"/>
      <c r="F91" s="90"/>
      <c r="G91" s="88"/>
      <c r="H91" s="89"/>
      <c r="I91" s="90"/>
      <c r="J91" s="88"/>
      <c r="K91" s="89"/>
    </row>
    <row r="92" spans="1:11">
      <c r="A92" s="91"/>
      <c r="B92" s="91"/>
      <c r="C92" s="87"/>
      <c r="D92" s="88"/>
      <c r="E92" s="89"/>
      <c r="F92" s="90"/>
      <c r="G92" s="88"/>
      <c r="H92" s="89"/>
      <c r="I92" s="90"/>
      <c r="J92" s="88"/>
      <c r="K92" s="89"/>
    </row>
    <row r="93" spans="1:11">
      <c r="A93" s="91"/>
      <c r="B93" s="91"/>
      <c r="C93" s="87"/>
      <c r="D93" s="88"/>
      <c r="E93" s="89"/>
      <c r="F93" s="90"/>
      <c r="G93" s="88"/>
      <c r="H93" s="89"/>
      <c r="I93" s="90"/>
      <c r="J93" s="88"/>
      <c r="K93" s="89"/>
    </row>
    <row r="94" spans="1:11">
      <c r="A94" s="91"/>
      <c r="B94" s="91"/>
      <c r="C94" s="87"/>
      <c r="D94" s="88"/>
      <c r="E94" s="89"/>
      <c r="F94" s="90"/>
      <c r="G94" s="88"/>
      <c r="H94" s="89"/>
      <c r="I94" s="90"/>
      <c r="J94" s="88"/>
      <c r="K94" s="89"/>
    </row>
    <row r="95" spans="1:11">
      <c r="A95" s="91"/>
      <c r="B95" s="91"/>
      <c r="C95" s="87"/>
      <c r="D95" s="88"/>
      <c r="E95" s="89"/>
      <c r="F95" s="90"/>
      <c r="G95" s="88"/>
      <c r="H95" s="89"/>
      <c r="I95" s="90"/>
      <c r="J95" s="88"/>
      <c r="K95" s="89"/>
    </row>
    <row r="96" spans="1:11">
      <c r="A96" s="91"/>
      <c r="B96" s="91"/>
      <c r="C96" s="87"/>
      <c r="D96" s="88"/>
      <c r="E96" s="89"/>
      <c r="F96" s="90"/>
      <c r="G96" s="88"/>
      <c r="H96" s="89"/>
      <c r="I96" s="90"/>
      <c r="J96" s="88"/>
      <c r="K96" s="89"/>
    </row>
    <row r="97" spans="1:11">
      <c r="A97" s="91"/>
      <c r="B97" s="91"/>
      <c r="C97" s="87"/>
      <c r="D97" s="88"/>
      <c r="E97" s="89"/>
      <c r="F97" s="90"/>
      <c r="G97" s="88"/>
      <c r="H97" s="89"/>
      <c r="I97" s="90"/>
      <c r="J97" s="88"/>
      <c r="K97" s="89"/>
    </row>
    <row r="98" spans="1:11">
      <c r="A98" s="91"/>
      <c r="B98" s="91"/>
      <c r="C98" s="87"/>
      <c r="D98" s="88"/>
      <c r="E98" s="89"/>
      <c r="F98" s="90"/>
      <c r="G98" s="88"/>
      <c r="H98" s="89"/>
      <c r="I98" s="90"/>
      <c r="J98" s="88"/>
      <c r="K98" s="89"/>
    </row>
    <row r="99" spans="1:11">
      <c r="A99" s="91"/>
      <c r="B99" s="91"/>
      <c r="C99" s="87"/>
      <c r="D99" s="88"/>
      <c r="E99" s="89"/>
      <c r="F99" s="90"/>
      <c r="G99" s="88"/>
      <c r="H99" s="89"/>
      <c r="I99" s="90"/>
      <c r="J99" s="88"/>
      <c r="K99" s="89"/>
    </row>
    <row r="100" spans="1:11">
      <c r="A100" s="91"/>
      <c r="B100" s="91"/>
      <c r="C100" s="87"/>
      <c r="D100" s="88"/>
      <c r="E100" s="89"/>
      <c r="F100" s="90"/>
      <c r="G100" s="88"/>
      <c r="H100" s="89"/>
      <c r="I100" s="90"/>
      <c r="J100" s="88"/>
      <c r="K100" s="89"/>
    </row>
  </sheetData>
  <mergeCells count="9">
    <mergeCell ref="J6:K6"/>
    <mergeCell ref="D7:E7"/>
    <mergeCell ref="G7:H7"/>
    <mergeCell ref="J7:K7"/>
    <mergeCell ref="A1:E3"/>
    <mergeCell ref="A4:E5"/>
    <mergeCell ref="D6:E6"/>
    <mergeCell ref="G6:H6"/>
    <mergeCell ref="A6:C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5F2A7B-E19A-427F-9D23-8980BC0058A9}">
          <x14:formula1>
            <xm:f>'Team Structure'!$B$3:$B$26</xm:f>
          </x14:formula1>
          <xm:sqref>C9:C100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C4A7-2E50-4CCE-B4B5-ED70F52575B4}">
  <dimension ref="A1:L35"/>
  <sheetViews>
    <sheetView topLeftCell="C1" workbookViewId="0">
      <selection sqref="A1:D1"/>
    </sheetView>
  </sheetViews>
  <sheetFormatPr defaultColWidth="9" defaultRowHeight="13.9"/>
  <cols>
    <col min="1" max="3" width="18.5703125" style="7" customWidth="1"/>
    <col min="4" max="4" width="14.85546875" style="7" bestFit="1" customWidth="1"/>
    <col min="5" max="5" width="32.42578125" style="7" customWidth="1"/>
    <col min="6" max="6" width="36.85546875" style="7" customWidth="1"/>
    <col min="7" max="7" width="7.85546875" style="7" customWidth="1"/>
    <col min="8" max="8" width="13.140625" style="7" bestFit="1" customWidth="1"/>
    <col min="9" max="9" width="10.5703125" style="7" bestFit="1" customWidth="1"/>
    <col min="10" max="10" width="18.5703125" style="7" customWidth="1"/>
    <col min="11" max="11" width="18" style="7" bestFit="1" customWidth="1"/>
    <col min="12" max="12" width="26" style="7" customWidth="1"/>
    <col min="13" max="16384" width="9" style="7"/>
  </cols>
  <sheetData>
    <row r="1" spans="1:12" ht="17.649999999999999">
      <c r="A1" s="156" t="s">
        <v>80</v>
      </c>
      <c r="B1" s="156"/>
      <c r="C1" s="156"/>
      <c r="D1" s="156"/>
    </row>
    <row r="2" spans="1:12" ht="76.900000000000006">
      <c r="A2" s="92" t="s">
        <v>81</v>
      </c>
      <c r="B2" s="112" t="s">
        <v>79</v>
      </c>
      <c r="C2" s="93" t="s">
        <v>77</v>
      </c>
      <c r="D2" s="93" t="s">
        <v>82</v>
      </c>
      <c r="E2" s="94" t="s">
        <v>83</v>
      </c>
      <c r="F2" s="94" t="s">
        <v>84</v>
      </c>
      <c r="G2" s="94" t="s">
        <v>85</v>
      </c>
      <c r="H2" s="94" t="s">
        <v>86</v>
      </c>
      <c r="I2" s="94" t="s">
        <v>87</v>
      </c>
      <c r="J2" s="94" t="s">
        <v>88</v>
      </c>
      <c r="K2" s="94" t="s">
        <v>89</v>
      </c>
      <c r="L2" s="94" t="s">
        <v>90</v>
      </c>
    </row>
    <row r="3" spans="1:12">
      <c r="A3" s="157" t="s">
        <v>91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9"/>
    </row>
    <row r="4" spans="1:12">
      <c r="A4" s="95">
        <v>1</v>
      </c>
      <c r="B4" s="95"/>
      <c r="C4" s="95"/>
      <c r="D4" s="95"/>
      <c r="E4" s="96"/>
      <c r="F4" s="96"/>
      <c r="G4" s="95"/>
      <c r="H4" s="95"/>
      <c r="I4" s="96">
        <v>0</v>
      </c>
      <c r="J4" s="96">
        <f t="shared" ref="J4:J13" si="0">G4*I4</f>
        <v>0</v>
      </c>
      <c r="K4" s="95"/>
      <c r="L4" s="95"/>
    </row>
    <row r="5" spans="1:12">
      <c r="A5" s="95">
        <v>2</v>
      </c>
      <c r="B5" s="95"/>
      <c r="C5" s="95"/>
      <c r="D5" s="95"/>
      <c r="E5" s="96"/>
      <c r="F5" s="96"/>
      <c r="G5" s="95"/>
      <c r="H5" s="95"/>
      <c r="I5" s="96"/>
      <c r="J5" s="96">
        <f t="shared" si="0"/>
        <v>0</v>
      </c>
      <c r="K5" s="95"/>
      <c r="L5" s="95"/>
    </row>
    <row r="6" spans="1:12">
      <c r="A6" s="95">
        <v>3</v>
      </c>
      <c r="B6" s="95"/>
      <c r="C6" s="95"/>
      <c r="D6" s="95"/>
      <c r="E6" s="96"/>
      <c r="F6" s="96"/>
      <c r="G6" s="95"/>
      <c r="H6" s="95"/>
      <c r="I6" s="96"/>
      <c r="J6" s="96">
        <f t="shared" si="0"/>
        <v>0</v>
      </c>
      <c r="K6" s="95"/>
      <c r="L6" s="95"/>
    </row>
    <row r="7" spans="1:12">
      <c r="A7" s="95">
        <v>4</v>
      </c>
      <c r="B7" s="95"/>
      <c r="C7" s="95"/>
      <c r="D7" s="95"/>
      <c r="E7" s="96"/>
      <c r="F7" s="96"/>
      <c r="G7" s="95"/>
      <c r="H7" s="95"/>
      <c r="I7" s="96"/>
      <c r="J7" s="96">
        <f t="shared" si="0"/>
        <v>0</v>
      </c>
      <c r="K7" s="95"/>
      <c r="L7" s="95"/>
    </row>
    <row r="8" spans="1:12">
      <c r="A8" s="95">
        <v>5</v>
      </c>
      <c r="B8" s="95"/>
      <c r="C8" s="95"/>
      <c r="D8" s="95"/>
      <c r="E8" s="96"/>
      <c r="F8" s="96"/>
      <c r="G8" s="95"/>
      <c r="H8" s="95"/>
      <c r="I8" s="96"/>
      <c r="J8" s="96">
        <f t="shared" si="0"/>
        <v>0</v>
      </c>
      <c r="K8" s="95"/>
      <c r="L8" s="95"/>
    </row>
    <row r="9" spans="1:12">
      <c r="A9" s="95">
        <v>6</v>
      </c>
      <c r="B9" s="95"/>
      <c r="C9" s="95"/>
      <c r="D9" s="95"/>
      <c r="E9" s="96"/>
      <c r="F9" s="96"/>
      <c r="G9" s="95"/>
      <c r="H9" s="95"/>
      <c r="I9" s="96"/>
      <c r="J9" s="96">
        <f t="shared" si="0"/>
        <v>0</v>
      </c>
      <c r="K9" s="95"/>
      <c r="L9" s="95"/>
    </row>
    <row r="10" spans="1:12">
      <c r="A10" s="95">
        <v>7</v>
      </c>
      <c r="B10" s="95"/>
      <c r="C10" s="95"/>
      <c r="D10" s="95"/>
      <c r="E10" s="96"/>
      <c r="F10" s="96"/>
      <c r="G10" s="95"/>
      <c r="H10" s="95"/>
      <c r="I10" s="96"/>
      <c r="J10" s="96">
        <f t="shared" si="0"/>
        <v>0</v>
      </c>
      <c r="K10" s="95"/>
      <c r="L10" s="95"/>
    </row>
    <row r="11" spans="1:12">
      <c r="A11" s="95">
        <v>8</v>
      </c>
      <c r="B11" s="95"/>
      <c r="C11" s="95"/>
      <c r="D11" s="95"/>
      <c r="E11" s="96"/>
      <c r="F11" s="96"/>
      <c r="G11" s="95"/>
      <c r="H11" s="95"/>
      <c r="I11" s="96"/>
      <c r="J11" s="96">
        <f t="shared" si="0"/>
        <v>0</v>
      </c>
      <c r="K11" s="95"/>
      <c r="L11" s="95"/>
    </row>
    <row r="12" spans="1:12">
      <c r="A12" s="95">
        <v>9</v>
      </c>
      <c r="B12" s="95"/>
      <c r="C12" s="95"/>
      <c r="D12" s="95"/>
      <c r="E12" s="96"/>
      <c r="F12" s="96"/>
      <c r="G12" s="95"/>
      <c r="H12" s="95"/>
      <c r="I12" s="96"/>
      <c r="J12" s="96">
        <f t="shared" si="0"/>
        <v>0</v>
      </c>
      <c r="K12" s="95"/>
      <c r="L12" s="95"/>
    </row>
    <row r="13" spans="1:12">
      <c r="A13" s="95">
        <v>10</v>
      </c>
      <c r="B13" s="95"/>
      <c r="C13" s="95"/>
      <c r="D13" s="95"/>
      <c r="E13" s="96"/>
      <c r="F13" s="96"/>
      <c r="G13" s="95"/>
      <c r="H13" s="95"/>
      <c r="I13" s="96"/>
      <c r="J13" s="96">
        <f t="shared" si="0"/>
        <v>0</v>
      </c>
      <c r="K13" s="95"/>
      <c r="L13" s="95"/>
    </row>
    <row r="14" spans="1:12">
      <c r="A14" s="163" t="s">
        <v>70</v>
      </c>
      <c r="B14" s="164"/>
      <c r="C14" s="164"/>
      <c r="D14" s="164"/>
      <c r="E14" s="164"/>
      <c r="F14" s="164"/>
      <c r="G14" s="164"/>
      <c r="H14" s="164"/>
      <c r="I14" s="164"/>
      <c r="J14" s="164"/>
      <c r="K14" s="164"/>
      <c r="L14" s="165"/>
    </row>
    <row r="15" spans="1:12">
      <c r="A15" s="95">
        <v>1</v>
      </c>
      <c r="B15" s="95"/>
      <c r="C15" s="95"/>
      <c r="D15" s="95"/>
      <c r="E15" s="96"/>
      <c r="F15" s="96"/>
      <c r="G15" s="95"/>
      <c r="H15" s="95"/>
      <c r="I15" s="96">
        <v>0</v>
      </c>
      <c r="J15" s="96">
        <f t="shared" ref="J15:J24" si="1">G15*I15</f>
        <v>0</v>
      </c>
      <c r="K15" s="95"/>
      <c r="L15" s="95"/>
    </row>
    <row r="16" spans="1:12">
      <c r="A16" s="95">
        <v>2</v>
      </c>
      <c r="B16" s="95"/>
      <c r="C16" s="95"/>
      <c r="D16" s="95"/>
      <c r="E16" s="96"/>
      <c r="F16" s="96"/>
      <c r="G16" s="95"/>
      <c r="H16" s="95"/>
      <c r="I16" s="96"/>
      <c r="J16" s="96">
        <f t="shared" si="1"/>
        <v>0</v>
      </c>
      <c r="K16" s="95"/>
      <c r="L16" s="95"/>
    </row>
    <row r="17" spans="1:12">
      <c r="A17" s="95">
        <v>3</v>
      </c>
      <c r="B17" s="95"/>
      <c r="C17" s="95"/>
      <c r="D17" s="95"/>
      <c r="E17" s="96"/>
      <c r="F17" s="96"/>
      <c r="G17" s="95"/>
      <c r="H17" s="95"/>
      <c r="I17" s="96"/>
      <c r="J17" s="96">
        <f t="shared" si="1"/>
        <v>0</v>
      </c>
      <c r="K17" s="95"/>
      <c r="L17" s="95"/>
    </row>
    <row r="18" spans="1:12">
      <c r="A18" s="95">
        <v>4</v>
      </c>
      <c r="B18" s="95"/>
      <c r="C18" s="95"/>
      <c r="D18" s="95"/>
      <c r="E18" s="96"/>
      <c r="F18" s="96"/>
      <c r="G18" s="95"/>
      <c r="H18" s="95"/>
      <c r="I18" s="96"/>
      <c r="J18" s="96">
        <f t="shared" si="1"/>
        <v>0</v>
      </c>
      <c r="K18" s="95"/>
      <c r="L18" s="95"/>
    </row>
    <row r="19" spans="1:12">
      <c r="A19" s="95">
        <v>5</v>
      </c>
      <c r="B19" s="95"/>
      <c r="C19" s="95"/>
      <c r="D19" s="95"/>
      <c r="E19" s="96"/>
      <c r="F19" s="96"/>
      <c r="G19" s="95"/>
      <c r="H19" s="95"/>
      <c r="I19" s="96"/>
      <c r="J19" s="96">
        <f t="shared" si="1"/>
        <v>0</v>
      </c>
      <c r="K19" s="95"/>
      <c r="L19" s="95"/>
    </row>
    <row r="20" spans="1:12">
      <c r="A20" s="95">
        <v>6</v>
      </c>
      <c r="B20" s="95"/>
      <c r="C20" s="95"/>
      <c r="D20" s="95"/>
      <c r="E20" s="96"/>
      <c r="F20" s="96"/>
      <c r="G20" s="95"/>
      <c r="H20" s="95"/>
      <c r="I20" s="96"/>
      <c r="J20" s="96">
        <f t="shared" si="1"/>
        <v>0</v>
      </c>
      <c r="K20" s="95"/>
      <c r="L20" s="95"/>
    </row>
    <row r="21" spans="1:12">
      <c r="A21" s="95">
        <v>7</v>
      </c>
      <c r="B21" s="95"/>
      <c r="C21" s="95"/>
      <c r="D21" s="95"/>
      <c r="E21" s="96"/>
      <c r="F21" s="96"/>
      <c r="G21" s="95"/>
      <c r="H21" s="95"/>
      <c r="I21" s="96"/>
      <c r="J21" s="96">
        <f t="shared" si="1"/>
        <v>0</v>
      </c>
      <c r="K21" s="95"/>
      <c r="L21" s="95"/>
    </row>
    <row r="22" spans="1:12">
      <c r="A22" s="95">
        <v>8</v>
      </c>
      <c r="B22" s="95"/>
      <c r="C22" s="95"/>
      <c r="D22" s="95"/>
      <c r="E22" s="96"/>
      <c r="F22" s="96"/>
      <c r="G22" s="95"/>
      <c r="H22" s="95"/>
      <c r="I22" s="96"/>
      <c r="J22" s="96">
        <f t="shared" si="1"/>
        <v>0</v>
      </c>
      <c r="K22" s="95"/>
      <c r="L22" s="95"/>
    </row>
    <row r="23" spans="1:12">
      <c r="A23" s="95">
        <v>9</v>
      </c>
      <c r="B23" s="95"/>
      <c r="C23" s="95"/>
      <c r="D23" s="95"/>
      <c r="E23" s="96"/>
      <c r="F23" s="96"/>
      <c r="G23" s="95"/>
      <c r="H23" s="95"/>
      <c r="I23" s="96"/>
      <c r="J23" s="96">
        <f t="shared" si="1"/>
        <v>0</v>
      </c>
      <c r="K23" s="95"/>
      <c r="L23" s="95"/>
    </row>
    <row r="24" spans="1:12">
      <c r="A24" s="95">
        <v>10</v>
      </c>
      <c r="B24" s="95"/>
      <c r="C24" s="95"/>
      <c r="D24" s="95"/>
      <c r="E24" s="96"/>
      <c r="F24" s="96"/>
      <c r="G24" s="95"/>
      <c r="H24" s="95"/>
      <c r="I24" s="96"/>
      <c r="J24" s="96">
        <f t="shared" si="1"/>
        <v>0</v>
      </c>
      <c r="K24" s="95"/>
      <c r="L24" s="95"/>
    </row>
    <row r="25" spans="1:12">
      <c r="A25" s="160" t="s">
        <v>71</v>
      </c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2"/>
    </row>
    <row r="26" spans="1:12">
      <c r="A26" s="95">
        <v>1</v>
      </c>
      <c r="B26" s="95"/>
      <c r="C26" s="95"/>
      <c r="D26" s="95"/>
      <c r="E26" s="96"/>
      <c r="F26" s="96"/>
      <c r="G26" s="95"/>
      <c r="H26" s="95"/>
      <c r="I26" s="96">
        <v>0</v>
      </c>
      <c r="J26" s="96">
        <f t="shared" ref="J26:J35" si="2">G26*I26</f>
        <v>0</v>
      </c>
      <c r="K26" s="95"/>
      <c r="L26" s="95"/>
    </row>
    <row r="27" spans="1:12">
      <c r="A27" s="95">
        <v>2</v>
      </c>
      <c r="B27" s="95"/>
      <c r="C27" s="95"/>
      <c r="D27" s="95"/>
      <c r="E27" s="96"/>
      <c r="F27" s="96"/>
      <c r="G27" s="95"/>
      <c r="H27" s="95"/>
      <c r="I27" s="96"/>
      <c r="J27" s="96">
        <f t="shared" si="2"/>
        <v>0</v>
      </c>
      <c r="K27" s="95"/>
      <c r="L27" s="95"/>
    </row>
    <row r="28" spans="1:12">
      <c r="A28" s="95">
        <v>3</v>
      </c>
      <c r="B28" s="95"/>
      <c r="C28" s="95"/>
      <c r="D28" s="95"/>
      <c r="E28" s="96"/>
      <c r="F28" s="96"/>
      <c r="G28" s="95"/>
      <c r="H28" s="95"/>
      <c r="I28" s="96"/>
      <c r="J28" s="96">
        <f t="shared" si="2"/>
        <v>0</v>
      </c>
      <c r="K28" s="95"/>
      <c r="L28" s="95"/>
    </row>
    <row r="29" spans="1:12">
      <c r="A29" s="95">
        <v>4</v>
      </c>
      <c r="B29" s="95"/>
      <c r="C29" s="95"/>
      <c r="D29" s="95"/>
      <c r="E29" s="96"/>
      <c r="F29" s="96"/>
      <c r="G29" s="95"/>
      <c r="H29" s="95"/>
      <c r="I29" s="96"/>
      <c r="J29" s="96">
        <f t="shared" si="2"/>
        <v>0</v>
      </c>
      <c r="K29" s="95"/>
      <c r="L29" s="95"/>
    </row>
    <row r="30" spans="1:12">
      <c r="A30" s="95">
        <v>5</v>
      </c>
      <c r="B30" s="95"/>
      <c r="C30" s="95"/>
      <c r="D30" s="95"/>
      <c r="E30" s="96"/>
      <c r="F30" s="96"/>
      <c r="G30" s="95"/>
      <c r="H30" s="95"/>
      <c r="I30" s="96"/>
      <c r="J30" s="96">
        <f t="shared" si="2"/>
        <v>0</v>
      </c>
      <c r="K30" s="95"/>
      <c r="L30" s="95"/>
    </row>
    <row r="31" spans="1:12">
      <c r="A31" s="95">
        <v>6</v>
      </c>
      <c r="B31" s="95"/>
      <c r="C31" s="95"/>
      <c r="D31" s="95"/>
      <c r="E31" s="96"/>
      <c r="F31" s="96"/>
      <c r="G31" s="95"/>
      <c r="H31" s="95"/>
      <c r="I31" s="96"/>
      <c r="J31" s="96">
        <f t="shared" si="2"/>
        <v>0</v>
      </c>
      <c r="K31" s="95"/>
      <c r="L31" s="95"/>
    </row>
    <row r="32" spans="1:12">
      <c r="A32" s="95">
        <v>7</v>
      </c>
      <c r="B32" s="95"/>
      <c r="C32" s="95"/>
      <c r="D32" s="95"/>
      <c r="E32" s="96"/>
      <c r="F32" s="96"/>
      <c r="G32" s="95"/>
      <c r="H32" s="95"/>
      <c r="I32" s="96"/>
      <c r="J32" s="96">
        <f t="shared" si="2"/>
        <v>0</v>
      </c>
      <c r="K32" s="95"/>
      <c r="L32" s="95"/>
    </row>
    <row r="33" spans="1:12">
      <c r="A33" s="95">
        <v>8</v>
      </c>
      <c r="B33" s="95"/>
      <c r="C33" s="95"/>
      <c r="D33" s="95"/>
      <c r="E33" s="96"/>
      <c r="F33" s="96"/>
      <c r="G33" s="95"/>
      <c r="H33" s="95"/>
      <c r="I33" s="96"/>
      <c r="J33" s="96">
        <f t="shared" si="2"/>
        <v>0</v>
      </c>
      <c r="K33" s="95"/>
      <c r="L33" s="95"/>
    </row>
    <row r="34" spans="1:12">
      <c r="A34" s="95">
        <v>9</v>
      </c>
      <c r="B34" s="95"/>
      <c r="C34" s="95"/>
      <c r="D34" s="95"/>
      <c r="E34" s="96"/>
      <c r="F34" s="96"/>
      <c r="G34" s="95"/>
      <c r="H34" s="95"/>
      <c r="I34" s="96"/>
      <c r="J34" s="96">
        <f t="shared" si="2"/>
        <v>0</v>
      </c>
      <c r="K34" s="95"/>
      <c r="L34" s="95"/>
    </row>
    <row r="35" spans="1:12">
      <c r="A35" s="95">
        <v>10</v>
      </c>
      <c r="B35" s="95"/>
      <c r="C35" s="95"/>
      <c r="D35" s="95"/>
      <c r="E35" s="96"/>
      <c r="F35" s="96"/>
      <c r="G35" s="95"/>
      <c r="H35" s="95"/>
      <c r="I35" s="96"/>
      <c r="J35" s="96">
        <f t="shared" si="2"/>
        <v>0</v>
      </c>
      <c r="K35" s="95"/>
      <c r="L35" s="95"/>
    </row>
  </sheetData>
  <mergeCells count="4">
    <mergeCell ref="A1:D1"/>
    <mergeCell ref="A3:L3"/>
    <mergeCell ref="A25:L25"/>
    <mergeCell ref="A14:L1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E1A9E2-44AF-4038-8F2F-EAC2259D2E7B}">
          <x14:formula1>
            <xm:f>'Team Structure'!$B$3:$B$26</xm:f>
          </x14:formula1>
          <xm:sqref>C4:C13 C15:C24 C26:C35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DD3D-06E8-4318-87D0-ECD697C53F01}">
  <dimension ref="A1:G22"/>
  <sheetViews>
    <sheetView workbookViewId="0">
      <selection sqref="A1:C1"/>
    </sheetView>
  </sheetViews>
  <sheetFormatPr defaultColWidth="9" defaultRowHeight="13.9"/>
  <cols>
    <col min="1" max="1" width="21.140625" style="7" bestFit="1" customWidth="1"/>
    <col min="2" max="2" width="35.85546875" style="7" customWidth="1"/>
    <col min="3" max="3" width="23" style="7" customWidth="1"/>
    <col min="4" max="5" width="21.28515625" style="7" customWidth="1"/>
    <col min="6" max="6" width="30.7109375" style="7" customWidth="1"/>
    <col min="7" max="7" width="14.5703125" style="7" customWidth="1"/>
    <col min="8" max="16384" width="9" style="7"/>
  </cols>
  <sheetData>
    <row r="1" spans="1:7" ht="17.649999999999999">
      <c r="A1" s="156" t="s">
        <v>92</v>
      </c>
      <c r="B1" s="156"/>
      <c r="C1" s="156"/>
      <c r="D1" s="97"/>
      <c r="E1" s="97"/>
      <c r="F1" s="97"/>
    </row>
    <row r="2" spans="1:7" ht="15.4">
      <c r="A2" s="167" t="s">
        <v>93</v>
      </c>
      <c r="B2" s="167"/>
      <c r="C2" s="167"/>
      <c r="D2" s="98"/>
      <c r="E2" s="98"/>
      <c r="F2" s="98"/>
      <c r="G2" s="99"/>
    </row>
    <row r="3" spans="1:7">
      <c r="A3" s="167"/>
      <c r="B3" s="167"/>
      <c r="C3" s="167"/>
      <c r="D3" s="98"/>
      <c r="E3" s="98"/>
      <c r="F3" s="98"/>
      <c r="G3" s="100"/>
    </row>
    <row r="4" spans="1:7" ht="27.75">
      <c r="A4" s="101" t="s">
        <v>94</v>
      </c>
      <c r="B4" s="102" t="s">
        <v>95</v>
      </c>
      <c r="C4" s="101" t="s">
        <v>96</v>
      </c>
      <c r="D4" s="101" t="s">
        <v>97</v>
      </c>
      <c r="E4" s="101" t="s">
        <v>98</v>
      </c>
      <c r="F4" s="101" t="s">
        <v>99</v>
      </c>
      <c r="G4" s="101" t="s">
        <v>100</v>
      </c>
    </row>
    <row r="5" spans="1:7">
      <c r="A5" s="168" t="s">
        <v>69</v>
      </c>
      <c r="B5" s="103"/>
      <c r="C5" s="103"/>
      <c r="D5" s="103"/>
      <c r="E5" s="103"/>
      <c r="F5" s="103"/>
      <c r="G5" s="103"/>
    </row>
    <row r="6" spans="1:7">
      <c r="A6" s="168"/>
      <c r="B6" s="103"/>
      <c r="C6" s="103"/>
      <c r="D6" s="103"/>
      <c r="E6" s="103"/>
      <c r="F6" s="103"/>
      <c r="G6" s="103"/>
    </row>
    <row r="7" spans="1:7">
      <c r="A7" s="168"/>
      <c r="B7" s="103"/>
      <c r="C7" s="103"/>
      <c r="D7" s="103"/>
      <c r="E7" s="103"/>
      <c r="F7" s="103"/>
      <c r="G7" s="103"/>
    </row>
    <row r="8" spans="1:7">
      <c r="A8" s="168"/>
      <c r="B8" s="103"/>
      <c r="C8" s="103"/>
      <c r="D8" s="103"/>
      <c r="E8" s="103"/>
      <c r="F8" s="103"/>
      <c r="G8" s="103"/>
    </row>
    <row r="9" spans="1:7">
      <c r="A9" s="168"/>
      <c r="B9" s="104"/>
      <c r="C9" s="103"/>
      <c r="D9" s="103"/>
      <c r="E9" s="103"/>
      <c r="F9" s="103"/>
      <c r="G9" s="103"/>
    </row>
    <row r="10" spans="1:7">
      <c r="A10" s="171"/>
      <c r="B10" s="171"/>
      <c r="C10" s="171"/>
      <c r="D10" s="171"/>
      <c r="E10" s="171"/>
      <c r="F10" s="171"/>
      <c r="G10" s="171"/>
    </row>
    <row r="11" spans="1:7">
      <c r="A11" s="169" t="s">
        <v>101</v>
      </c>
      <c r="B11" s="103"/>
      <c r="C11" s="103"/>
      <c r="D11" s="103"/>
      <c r="E11" s="103"/>
      <c r="F11" s="103"/>
      <c r="G11" s="103"/>
    </row>
    <row r="12" spans="1:7">
      <c r="A12" s="169"/>
      <c r="B12" s="103"/>
      <c r="C12" s="103"/>
      <c r="D12" s="103"/>
      <c r="E12" s="103"/>
      <c r="F12" s="103"/>
      <c r="G12" s="103"/>
    </row>
    <row r="13" spans="1:7">
      <c r="A13" s="169"/>
      <c r="B13" s="103"/>
      <c r="C13" s="103"/>
      <c r="D13" s="103"/>
      <c r="E13" s="103"/>
      <c r="F13" s="103"/>
      <c r="G13" s="103"/>
    </row>
    <row r="14" spans="1:7">
      <c r="A14" s="169"/>
      <c r="B14" s="103"/>
      <c r="C14" s="103"/>
      <c r="D14" s="103"/>
      <c r="E14" s="103"/>
      <c r="F14" s="103"/>
      <c r="G14" s="103"/>
    </row>
    <row r="15" spans="1:7">
      <c r="A15" s="169"/>
      <c r="B15" s="104"/>
      <c r="C15" s="103"/>
      <c r="D15" s="103"/>
      <c r="E15" s="103"/>
      <c r="F15" s="103"/>
      <c r="G15" s="103"/>
    </row>
    <row r="16" spans="1:7">
      <c r="A16" s="172"/>
      <c r="B16" s="172"/>
      <c r="C16" s="172"/>
      <c r="D16" s="172"/>
      <c r="E16" s="172"/>
      <c r="F16" s="172"/>
      <c r="G16" s="172"/>
    </row>
    <row r="17" spans="1:7">
      <c r="A17" s="170" t="s">
        <v>71</v>
      </c>
      <c r="B17" s="103"/>
      <c r="C17" s="103"/>
      <c r="D17" s="103"/>
      <c r="E17" s="103"/>
      <c r="F17" s="103"/>
      <c r="G17" s="103"/>
    </row>
    <row r="18" spans="1:7">
      <c r="A18" s="170"/>
      <c r="B18" s="103"/>
      <c r="C18" s="103"/>
      <c r="D18" s="103"/>
      <c r="E18" s="103"/>
      <c r="F18" s="103"/>
      <c r="G18" s="103"/>
    </row>
    <row r="19" spans="1:7">
      <c r="A19" s="170"/>
      <c r="B19" s="103"/>
      <c r="C19" s="103"/>
      <c r="D19" s="103"/>
      <c r="E19" s="103"/>
      <c r="F19" s="103"/>
      <c r="G19" s="103"/>
    </row>
    <row r="20" spans="1:7">
      <c r="A20" s="170"/>
      <c r="B20" s="103"/>
      <c r="C20" s="103"/>
      <c r="D20" s="103"/>
      <c r="E20" s="103"/>
      <c r="F20" s="103"/>
      <c r="G20" s="103"/>
    </row>
    <row r="21" spans="1:7">
      <c r="A21" s="170"/>
      <c r="B21" s="104"/>
      <c r="C21" s="103"/>
      <c r="D21" s="103"/>
      <c r="E21" s="103"/>
      <c r="F21" s="103"/>
      <c r="G21" s="103"/>
    </row>
    <row r="22" spans="1:7">
      <c r="A22" s="166"/>
      <c r="B22" s="166"/>
      <c r="C22" s="166"/>
      <c r="D22" s="166"/>
      <c r="E22" s="166"/>
      <c r="F22" s="166"/>
      <c r="G22" s="166"/>
    </row>
  </sheetData>
  <mergeCells count="8">
    <mergeCell ref="A22:G22"/>
    <mergeCell ref="A2:C3"/>
    <mergeCell ref="A1:C1"/>
    <mergeCell ref="A5:A9"/>
    <mergeCell ref="A11:A15"/>
    <mergeCell ref="A17:A21"/>
    <mergeCell ref="A10:G10"/>
    <mergeCell ref="A16:G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96d420-221f-4e9d-95ed-cff15f2d7a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A65023F1F564684F417E82C11F0F1" ma:contentTypeVersion="9" ma:contentTypeDescription="Create a new document." ma:contentTypeScope="" ma:versionID="2d820eddc1b016db5dfa0a7606512de2">
  <xsd:schema xmlns:xsd="http://www.w3.org/2001/XMLSchema" xmlns:xs="http://www.w3.org/2001/XMLSchema" xmlns:p="http://schemas.microsoft.com/office/2006/metadata/properties" xmlns:ns2="9a96d420-221f-4e9d-95ed-cff15f2d7ad9" targetNamespace="http://schemas.microsoft.com/office/2006/metadata/properties" ma:root="true" ma:fieldsID="1c98942b862c46ce3952345364283d3e" ns2:_="">
    <xsd:import namespace="9a96d420-221f-4e9d-95ed-cff15f2d7a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6d420-221f-4e9d-95ed-cff15f2d7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a3d992-a253-47c4-ad97-b3000a673b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F554CF-1072-4208-9793-56D572C748E4}"/>
</file>

<file path=customXml/itemProps2.xml><?xml version="1.0" encoding="utf-8"?>
<ds:datastoreItem xmlns:ds="http://schemas.openxmlformats.org/officeDocument/2006/customXml" ds:itemID="{1DF546B6-C7DC-4D5C-894E-4D06AA07E5EA}"/>
</file>

<file path=customXml/itemProps3.xml><?xml version="1.0" encoding="utf-8"?>
<ds:datastoreItem xmlns:ds="http://schemas.openxmlformats.org/officeDocument/2006/customXml" ds:itemID="{3F9A49F1-6D61-4023-9641-40AAAC9687CB}"/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  <clbl:label id="{39403df3-4f99-429e-bcca-aef45d118c06}" enabled="1" method="Standard" siteId="{5685c435-011d-4ece-8236-5a545c0ff8a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Caceres, Enrique (ARPA-H) [CTR]</dc:creator>
  <cp:keywords/>
  <dc:description/>
  <cp:lastModifiedBy>Latrice Lyles (ARPA-H) [CTR]</cp:lastModifiedBy>
  <cp:revision/>
  <dcterms:created xsi:type="dcterms:W3CDTF">2024-03-18T14:21:07Z</dcterms:created>
  <dcterms:modified xsi:type="dcterms:W3CDTF">2026-05-05T19:50:45Z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0x010100E83A65023F1F564684F417E82C11F0F1</vt:lpwstr>
  </property>
  <property fmtid="{D5CDD505-2E9C-101B-9397-08002B2CF9AE}" pid="3" name="MediaServiceImageTags">
    <vt:lpwstr/>
  </property>
</Properties>
</file>